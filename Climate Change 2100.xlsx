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8_{34EF069F-D313-4D2D-AC0A-04AF5FE5228B}" xr6:coauthVersionLast="47" xr6:coauthVersionMax="47" xr10:uidLastSave="{00000000-0000-0000-0000-000000000000}"/>
  <bookViews>
    <workbookView xWindow="11424" yWindow="0" windowWidth="11712" windowHeight="13056" firstSheet="5" activeTab="5" xr2:uid="{377CF18E-9ECA-461B-B7A6-D69C4AD28C6B}"/>
  </bookViews>
  <sheets>
    <sheet name="Data" sheetId="1" r:id="rId1"/>
    <sheet name="Decision Analysis" sheetId="2" r:id="rId2"/>
    <sheet name="Linear Regression " sheetId="3" r:id="rId3"/>
    <sheet name="Probability and statistics" sheetId="4" r:id="rId4"/>
    <sheet name="Sensitivity Analysis_for coal" sheetId="6" r:id="rId5"/>
    <sheet name="Sensitivity Analysi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2" l="1" a="1"/>
  <c r="G110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H47" i="6"/>
  <c r="H63" i="6"/>
  <c r="H64" i="6"/>
  <c r="H95" i="6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G64" i="6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3" i="6"/>
  <c r="H3" i="6" s="1"/>
  <c r="F37" i="6"/>
  <c r="F38" i="6"/>
  <c r="F50" i="6"/>
  <c r="F51" i="6"/>
  <c r="F61" i="6"/>
  <c r="E103" i="6"/>
  <c r="F10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E38" i="6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E51" i="6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3" i="6"/>
  <c r="F3" i="6" s="1"/>
  <c r="G109" i="2"/>
  <c r="F109" i="2"/>
  <c r="E109" i="2"/>
  <c r="D109" i="2"/>
  <c r="C109" i="2"/>
  <c r="B109" i="2"/>
  <c r="O15" i="2"/>
  <c r="O16" i="2"/>
  <c r="O17" i="2"/>
  <c r="O18" i="2"/>
  <c r="O27" i="2"/>
  <c r="O42" i="2"/>
  <c r="O50" i="2"/>
  <c r="O51" i="2"/>
  <c r="O52" i="2"/>
  <c r="O53" i="2"/>
  <c r="O75" i="2"/>
  <c r="O76" i="2"/>
  <c r="O77" i="2"/>
  <c r="O78" i="2"/>
  <c r="O86" i="2"/>
  <c r="O101" i="2"/>
  <c r="O102" i="2"/>
  <c r="N5" i="2"/>
  <c r="N6" i="2"/>
  <c r="N7" i="2"/>
  <c r="N8" i="2"/>
  <c r="N9" i="2"/>
  <c r="N10" i="2"/>
  <c r="N11" i="2"/>
  <c r="N12" i="2"/>
  <c r="N13" i="2"/>
  <c r="N14" i="2"/>
  <c r="N17" i="2"/>
  <c r="N18" i="2"/>
  <c r="N19" i="2"/>
  <c r="N20" i="2"/>
  <c r="N21" i="2"/>
  <c r="N22" i="2"/>
  <c r="N23" i="2"/>
  <c r="N24" i="2"/>
  <c r="N25" i="2"/>
  <c r="N26" i="2"/>
  <c r="N29" i="2"/>
  <c r="N30" i="2"/>
  <c r="N31" i="2"/>
  <c r="N32" i="2"/>
  <c r="N33" i="2"/>
  <c r="N34" i="2"/>
  <c r="N35" i="2"/>
  <c r="N36" i="2"/>
  <c r="N37" i="2"/>
  <c r="N38" i="2"/>
  <c r="N41" i="2"/>
  <c r="N42" i="2"/>
  <c r="N43" i="2"/>
  <c r="N44" i="2"/>
  <c r="N45" i="2"/>
  <c r="N46" i="2"/>
  <c r="N47" i="2"/>
  <c r="N48" i="2"/>
  <c r="N49" i="2"/>
  <c r="N50" i="2"/>
  <c r="N53" i="2"/>
  <c r="N54" i="2"/>
  <c r="N55" i="2"/>
  <c r="N56" i="2"/>
  <c r="N57" i="2"/>
  <c r="N58" i="2"/>
  <c r="N59" i="2"/>
  <c r="N60" i="2"/>
  <c r="N61" i="2"/>
  <c r="N62" i="2"/>
  <c r="N65" i="2"/>
  <c r="N66" i="2"/>
  <c r="N67" i="2"/>
  <c r="N68" i="2"/>
  <c r="N69" i="2"/>
  <c r="N70" i="2"/>
  <c r="N71" i="2"/>
  <c r="N72" i="2"/>
  <c r="N73" i="2"/>
  <c r="N74" i="2"/>
  <c r="N77" i="2"/>
  <c r="N78" i="2"/>
  <c r="N79" i="2"/>
  <c r="N80" i="2"/>
  <c r="N81" i="2"/>
  <c r="N82" i="2"/>
  <c r="N83" i="2"/>
  <c r="N84" i="2"/>
  <c r="N85" i="2"/>
  <c r="N86" i="2"/>
  <c r="N89" i="2"/>
  <c r="N90" i="2"/>
  <c r="N91" i="2"/>
  <c r="N92" i="2"/>
  <c r="N93" i="2"/>
  <c r="N94" i="2"/>
  <c r="N95" i="2"/>
  <c r="N96" i="2"/>
  <c r="N97" i="2"/>
  <c r="N98" i="2"/>
  <c r="N101" i="2"/>
  <c r="N102" i="2"/>
  <c r="N103" i="2"/>
  <c r="N3" i="2"/>
  <c r="M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3" i="2"/>
  <c r="M24" i="2"/>
  <c r="M25" i="2"/>
  <c r="M26" i="2"/>
  <c r="M27" i="2"/>
  <c r="M28" i="2"/>
  <c r="M29" i="2"/>
  <c r="M30" i="2"/>
  <c r="M31" i="2"/>
  <c r="M32" i="2"/>
  <c r="M35" i="2"/>
  <c r="M36" i="2"/>
  <c r="M37" i="2"/>
  <c r="M38" i="2"/>
  <c r="M39" i="2"/>
  <c r="M40" i="2"/>
  <c r="M41" i="2"/>
  <c r="M42" i="2"/>
  <c r="M43" i="2"/>
  <c r="M44" i="2"/>
  <c r="M47" i="2"/>
  <c r="M48" i="2"/>
  <c r="M49" i="2"/>
  <c r="M50" i="2"/>
  <c r="M51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M68" i="2"/>
  <c r="M71" i="2"/>
  <c r="M72" i="2"/>
  <c r="M73" i="2"/>
  <c r="M74" i="2"/>
  <c r="M75" i="2"/>
  <c r="M76" i="2"/>
  <c r="M77" i="2"/>
  <c r="M78" i="2"/>
  <c r="M79" i="2"/>
  <c r="M80" i="2"/>
  <c r="M83" i="2"/>
  <c r="M84" i="2"/>
  <c r="M85" i="2"/>
  <c r="M86" i="2"/>
  <c r="M87" i="2"/>
  <c r="M88" i="2"/>
  <c r="M89" i="2"/>
  <c r="M90" i="2"/>
  <c r="M91" i="2"/>
  <c r="M92" i="2"/>
  <c r="M95" i="2"/>
  <c r="M96" i="2"/>
  <c r="M97" i="2"/>
  <c r="M98" i="2"/>
  <c r="M99" i="2"/>
  <c r="M100" i="2"/>
  <c r="M101" i="2"/>
  <c r="M102" i="2"/>
  <c r="M103" i="2"/>
  <c r="M3" i="2"/>
  <c r="L7" i="2"/>
  <c r="L8" i="2"/>
  <c r="L9" i="2"/>
  <c r="L10" i="2"/>
  <c r="L11" i="2"/>
  <c r="L12" i="2"/>
  <c r="L13" i="2"/>
  <c r="L14" i="2"/>
  <c r="L15" i="2"/>
  <c r="L19" i="2"/>
  <c r="L20" i="2"/>
  <c r="L21" i="2"/>
  <c r="L22" i="2"/>
  <c r="L23" i="2"/>
  <c r="L24" i="2"/>
  <c r="L25" i="2"/>
  <c r="L26" i="2"/>
  <c r="L27" i="2"/>
  <c r="L31" i="2"/>
  <c r="L32" i="2"/>
  <c r="L33" i="2"/>
  <c r="L34" i="2"/>
  <c r="L35" i="2"/>
  <c r="L36" i="2"/>
  <c r="L37" i="2"/>
  <c r="L38" i="2"/>
  <c r="L39" i="2"/>
  <c r="L43" i="2"/>
  <c r="L44" i="2"/>
  <c r="L45" i="2"/>
  <c r="L46" i="2"/>
  <c r="L47" i="2"/>
  <c r="L48" i="2"/>
  <c r="L49" i="2"/>
  <c r="L50" i="2"/>
  <c r="L51" i="2"/>
  <c r="L55" i="2"/>
  <c r="L56" i="2"/>
  <c r="L57" i="2"/>
  <c r="L58" i="2"/>
  <c r="L59" i="2"/>
  <c r="L60" i="2"/>
  <c r="L61" i="2"/>
  <c r="L62" i="2"/>
  <c r="L63" i="2"/>
  <c r="L67" i="2"/>
  <c r="L68" i="2"/>
  <c r="L69" i="2"/>
  <c r="L70" i="2"/>
  <c r="L71" i="2"/>
  <c r="L72" i="2"/>
  <c r="L73" i="2"/>
  <c r="L74" i="2"/>
  <c r="L75" i="2"/>
  <c r="L79" i="2"/>
  <c r="L80" i="2"/>
  <c r="L81" i="2"/>
  <c r="L82" i="2"/>
  <c r="L83" i="2"/>
  <c r="L84" i="2"/>
  <c r="L85" i="2"/>
  <c r="L86" i="2"/>
  <c r="L87" i="2"/>
  <c r="L91" i="2"/>
  <c r="L92" i="2"/>
  <c r="L93" i="2"/>
  <c r="L94" i="2"/>
  <c r="L95" i="2"/>
  <c r="L96" i="2"/>
  <c r="L97" i="2"/>
  <c r="L98" i="2"/>
  <c r="L99" i="2"/>
  <c r="L103" i="2"/>
  <c r="L3" i="2"/>
  <c r="G107" i="2"/>
  <c r="F107" i="2"/>
  <c r="E107" i="2"/>
  <c r="D107" i="2"/>
  <c r="C107" i="2"/>
  <c r="B107" i="2"/>
  <c r="G106" i="2"/>
  <c r="O38" i="2" s="1"/>
  <c r="F106" i="2"/>
  <c r="N15" i="2" s="1"/>
  <c r="E106" i="2"/>
  <c r="M9" i="2" s="1"/>
  <c r="D106" i="2"/>
  <c r="L4" i="2" s="1"/>
  <c r="C106" i="2"/>
  <c r="B106" i="2"/>
  <c r="O99" i="2" l="1"/>
  <c r="O5" i="2"/>
  <c r="O90" i="2"/>
  <c r="O64" i="2"/>
  <c r="O7" i="2"/>
  <c r="O19" i="2"/>
  <c r="O31" i="2"/>
  <c r="O43" i="2"/>
  <c r="O55" i="2"/>
  <c r="O67" i="2"/>
  <c r="O79" i="2"/>
  <c r="O91" i="2"/>
  <c r="O103" i="2"/>
  <c r="O9" i="2"/>
  <c r="O21" i="2"/>
  <c r="O33" i="2"/>
  <c r="O45" i="2"/>
  <c r="O57" i="2"/>
  <c r="O69" i="2"/>
  <c r="O81" i="2"/>
  <c r="O93" i="2"/>
  <c r="O10" i="2"/>
  <c r="O22" i="2"/>
  <c r="O34" i="2"/>
  <c r="O46" i="2"/>
  <c r="O58" i="2"/>
  <c r="O70" i="2"/>
  <c r="O82" i="2"/>
  <c r="O94" i="2"/>
  <c r="O11" i="2"/>
  <c r="O23" i="2"/>
  <c r="O35" i="2"/>
  <c r="O47" i="2"/>
  <c r="O59" i="2"/>
  <c r="O71" i="2"/>
  <c r="O83" i="2"/>
  <c r="O95" i="2"/>
  <c r="O12" i="2"/>
  <c r="O24" i="2"/>
  <c r="O36" i="2"/>
  <c r="O60" i="2"/>
  <c r="O72" i="2"/>
  <c r="O84" i="2"/>
  <c r="O96" i="2"/>
  <c r="O3" i="2"/>
  <c r="G108" i="2" s="1"/>
  <c r="O13" i="2"/>
  <c r="O25" i="2"/>
  <c r="O37" i="2"/>
  <c r="O49" i="2"/>
  <c r="O61" i="2"/>
  <c r="O73" i="2"/>
  <c r="O85" i="2"/>
  <c r="O97" i="2"/>
  <c r="O14" i="2"/>
  <c r="O26" i="2"/>
  <c r="O8" i="2"/>
  <c r="O20" i="2"/>
  <c r="O32" i="2"/>
  <c r="O44" i="2"/>
  <c r="O56" i="2"/>
  <c r="O68" i="2"/>
  <c r="O80" i="2"/>
  <c r="O92" i="2"/>
  <c r="O48" i="2"/>
  <c r="O100" i="2"/>
  <c r="O74" i="2"/>
  <c r="O41" i="2"/>
  <c r="O6" i="2"/>
  <c r="O66" i="2"/>
  <c r="O40" i="2"/>
  <c r="O98" i="2"/>
  <c r="O65" i="2"/>
  <c r="O39" i="2"/>
  <c r="O4" i="2"/>
  <c r="O89" i="2"/>
  <c r="O63" i="2"/>
  <c r="O30" i="2"/>
  <c r="O88" i="2"/>
  <c r="O62" i="2"/>
  <c r="O29" i="2"/>
  <c r="O87" i="2"/>
  <c r="O54" i="2"/>
  <c r="O28" i="2"/>
  <c r="L78" i="2"/>
  <c r="L30" i="2"/>
  <c r="L101" i="2"/>
  <c r="L89" i="2"/>
  <c r="L77" i="2"/>
  <c r="L65" i="2"/>
  <c r="L53" i="2"/>
  <c r="L41" i="2"/>
  <c r="L29" i="2"/>
  <c r="L17" i="2"/>
  <c r="L5" i="2"/>
  <c r="M94" i="2"/>
  <c r="M82" i="2"/>
  <c r="M70" i="2"/>
  <c r="M58" i="2"/>
  <c r="M46" i="2"/>
  <c r="M34" i="2"/>
  <c r="M22" i="2"/>
  <c r="M10" i="2"/>
  <c r="E108" i="2" s="1"/>
  <c r="N100" i="2"/>
  <c r="N88" i="2"/>
  <c r="N76" i="2"/>
  <c r="N64" i="2"/>
  <c r="N52" i="2"/>
  <c r="N40" i="2"/>
  <c r="N28" i="2"/>
  <c r="N16" i="2"/>
  <c r="N4" i="2"/>
  <c r="L102" i="2"/>
  <c r="L90" i="2"/>
  <c r="L66" i="2"/>
  <c r="L54" i="2"/>
  <c r="L42" i="2"/>
  <c r="L18" i="2"/>
  <c r="L6" i="2"/>
  <c r="L100" i="2"/>
  <c r="L88" i="2"/>
  <c r="L76" i="2"/>
  <c r="L64" i="2"/>
  <c r="L52" i="2"/>
  <c r="L40" i="2"/>
  <c r="L28" i="2"/>
  <c r="L16" i="2"/>
  <c r="D108" i="2" s="1"/>
  <c r="M93" i="2"/>
  <c r="M81" i="2"/>
  <c r="M69" i="2"/>
  <c r="M57" i="2"/>
  <c r="M45" i="2"/>
  <c r="M33" i="2"/>
  <c r="M21" i="2"/>
  <c r="N99" i="2"/>
  <c r="N87" i="2"/>
  <c r="N75" i="2"/>
  <c r="N63" i="2"/>
  <c r="N51" i="2"/>
  <c r="N39" i="2"/>
  <c r="N27" i="2"/>
  <c r="F108" i="2" s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5" i="2"/>
  <c r="J6" i="2"/>
  <c r="J7" i="2"/>
  <c r="J8" i="2"/>
  <c r="J9" i="2"/>
  <c r="J10" i="2"/>
  <c r="J4" i="2"/>
  <c r="J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3" i="2"/>
  <c r="C108" i="2" l="1"/>
  <c r="B10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<sst xmlns="http://schemas.openxmlformats.org/spreadsheetml/2006/main" count="131" uniqueCount="67">
  <si>
    <t>Global Sources of Primary Energy (Exajoules/year)</t>
  </si>
  <si>
    <t>Year</t>
  </si>
  <si>
    <t>Coal</t>
  </si>
  <si>
    <t>Oil</t>
  </si>
  <si>
    <t>Gas</t>
  </si>
  <si>
    <t>Renewables</t>
  </si>
  <si>
    <t>Bioenergy</t>
  </si>
  <si>
    <t>Nuclear</t>
  </si>
  <si>
    <t>Baseline_Temp</t>
  </si>
  <si>
    <t>Current Scenario_Temp</t>
  </si>
  <si>
    <t>Payoff Table</t>
  </si>
  <si>
    <t>Regret Values</t>
  </si>
  <si>
    <t>Maximax</t>
  </si>
  <si>
    <t>Maximin</t>
  </si>
  <si>
    <t>Maximum Regret</t>
  </si>
  <si>
    <t>Equal Likelihood</t>
  </si>
  <si>
    <t>Expected value(EV)</t>
  </si>
  <si>
    <t xml:space="preserve">Probability &amp; Statistics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</si>
  <si>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</si>
  <si>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</si>
  <si>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</si>
  <si>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</si>
  <si>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</si>
  <si>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</si>
  <si>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</si>
  <si>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</si>
  <si>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</si>
  <si>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</si>
  <si>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</si>
  <si>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</si>
  <si>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</si>
  <si>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</si>
  <si>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</si>
  <si>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</si>
  <si>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</si>
  <si>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</si>
  <si>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</si>
  <si>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</si>
  <si>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</si>
  <si>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</si>
  <si>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</si>
  <si>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</si>
  <si>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</si>
  <si>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</si>
  <si>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</si>
  <si>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</si>
  <si>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</si>
  <si>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</si>
  <si>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</si>
  <si>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</si>
  <si>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T Test: Paired Two Sample for Means</t>
  </si>
  <si>
    <t>Observations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</si>
  <si>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</si>
  <si>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</si>
  <si>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</si>
  <si>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</si>
  <si>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</si>
  <si>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</si>
  <si>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</si>
  <si>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Temp+10%</t>
  </si>
  <si>
    <t>Descriptive Statistics</t>
  </si>
  <si>
    <t>Regression=y = 0.0118x + 1.0234</t>
  </si>
  <si>
    <t>Temp-10%</t>
  </si>
  <si>
    <t>Probability</t>
  </si>
  <si>
    <t>Column1</t>
  </si>
  <si>
    <t>10%</t>
  </si>
  <si>
    <t>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</si>
</sst>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9" fontId="0" fillId="0" borderId="0" xfId="0" applyNumberFormat="1"/>
    <xf numFmtId="0" fontId="0" fillId="4" borderId="4" xfId="0" applyFill="1" applyBorder="1"/>
    <xf numFmtId="0" fontId="0" fillId="5" borderId="0" xfId="0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4" borderId="4" xfId="0" applyFill="1" applyBorder="1" applyAlignment="1">
      <alignment horizontal="left"/>
    </xf>
    <xf numFmtId="0" fontId="0" fillId="0" borderId="0" xfId="0" applyFont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7" xfId="0" applyBorder="1"/>
    <xf numFmtId="0" fontId="0" fillId="0" borderId="9" xfId="0" applyBorder="1"/>
    <xf numFmtId="0" fontId="2" fillId="3" borderId="10" xfId="0" applyFon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4" fillId="4" borderId="6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'Linear Regression '!$C$1</c:f>
              <c:strCache>
                <c:ptCount val="1"/>
                <c:pt idx="0">
                  <c:v>Current Scenario_Temp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'Linear Regression '!$B$2:$B$102</c:f>
              <c:numCache>
                <c:formatCode>General</c:formatCode>
                <c:ptCount val="101"/>
                <c:pt idx="0">
                  <c:v>0.78</c:v>
                </c:pt>
                <c:pt idx="1">
                  <c:v>0.82</c:v>
                </c:pt>
                <c:pt idx="2">
                  <c:v>0.85</c:v>
                </c:pt>
                <c:pt idx="3">
                  <c:v>0.87</c:v>
                </c:pt>
                <c:pt idx="4">
                  <c:v>0.88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0.95</c:v>
                </c:pt>
                <c:pt idx="11">
                  <c:v>0.98</c:v>
                </c:pt>
                <c:pt idx="12">
                  <c:v>1.01</c:v>
                </c:pt>
                <c:pt idx="13">
                  <c:v>1.04</c:v>
                </c:pt>
                <c:pt idx="14">
                  <c:v>1.08</c:v>
                </c:pt>
                <c:pt idx="15">
                  <c:v>1.1100000000000001</c:v>
                </c:pt>
                <c:pt idx="16">
                  <c:v>1.1499999999999999</c:v>
                </c:pt>
                <c:pt idx="17">
                  <c:v>1.17</c:v>
                </c:pt>
                <c:pt idx="18">
                  <c:v>1.2</c:v>
                </c:pt>
                <c:pt idx="19">
                  <c:v>1.22</c:v>
                </c:pt>
                <c:pt idx="20">
                  <c:v>1.25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1.35</c:v>
                </c:pt>
                <c:pt idx="25">
                  <c:v>1.38</c:v>
                </c:pt>
                <c:pt idx="26">
                  <c:v>1.4</c:v>
                </c:pt>
                <c:pt idx="27">
                  <c:v>1.43</c:v>
                </c:pt>
                <c:pt idx="28">
                  <c:v>1.45</c:v>
                </c:pt>
                <c:pt idx="29">
                  <c:v>1.48</c:v>
                </c:pt>
                <c:pt idx="30">
                  <c:v>1.5</c:v>
                </c:pt>
                <c:pt idx="31">
                  <c:v>1.53</c:v>
                </c:pt>
                <c:pt idx="32">
                  <c:v>1.55</c:v>
                </c:pt>
                <c:pt idx="33">
                  <c:v>1.58</c:v>
                </c:pt>
                <c:pt idx="34">
                  <c:v>1.6</c:v>
                </c:pt>
                <c:pt idx="35">
                  <c:v>1.63</c:v>
                </c:pt>
                <c:pt idx="36">
                  <c:v>1.65</c:v>
                </c:pt>
                <c:pt idx="37">
                  <c:v>1.68</c:v>
                </c:pt>
                <c:pt idx="38">
                  <c:v>1.71</c:v>
                </c:pt>
                <c:pt idx="39">
                  <c:v>1.73</c:v>
                </c:pt>
                <c:pt idx="40">
                  <c:v>1.76</c:v>
                </c:pt>
                <c:pt idx="41">
                  <c:v>1.78</c:v>
                </c:pt>
                <c:pt idx="42">
                  <c:v>1.81</c:v>
                </c:pt>
                <c:pt idx="43">
                  <c:v>1.83</c:v>
                </c:pt>
                <c:pt idx="44">
                  <c:v>1.86</c:v>
                </c:pt>
                <c:pt idx="45">
                  <c:v>1.89</c:v>
                </c:pt>
                <c:pt idx="46">
                  <c:v>1.91</c:v>
                </c:pt>
                <c:pt idx="47">
                  <c:v>1.94</c:v>
                </c:pt>
                <c:pt idx="48">
                  <c:v>1.97</c:v>
                </c:pt>
                <c:pt idx="49">
                  <c:v>1.99</c:v>
                </c:pt>
                <c:pt idx="50">
                  <c:v>2.02</c:v>
                </c:pt>
                <c:pt idx="51">
                  <c:v>2.04</c:v>
                </c:pt>
                <c:pt idx="52">
                  <c:v>2.0699999999999998</c:v>
                </c:pt>
                <c:pt idx="53">
                  <c:v>2.09</c:v>
                </c:pt>
                <c:pt idx="54">
                  <c:v>2.12</c:v>
                </c:pt>
                <c:pt idx="55">
                  <c:v>2.14</c:v>
                </c:pt>
                <c:pt idx="56">
                  <c:v>2.17</c:v>
                </c:pt>
                <c:pt idx="57">
                  <c:v>2.2000000000000002</c:v>
                </c:pt>
                <c:pt idx="58">
                  <c:v>2.2200000000000002</c:v>
                </c:pt>
                <c:pt idx="59">
                  <c:v>2.25</c:v>
                </c:pt>
                <c:pt idx="60">
                  <c:v>2.27</c:v>
                </c:pt>
                <c:pt idx="61">
                  <c:v>2.2999999999999998</c:v>
                </c:pt>
                <c:pt idx="62">
                  <c:v>2.3199999999999998</c:v>
                </c:pt>
                <c:pt idx="63">
                  <c:v>2.35</c:v>
                </c:pt>
                <c:pt idx="64">
                  <c:v>2.37</c:v>
                </c:pt>
                <c:pt idx="65">
                  <c:v>2.4</c:v>
                </c:pt>
                <c:pt idx="66">
                  <c:v>2.4300000000000002</c:v>
                </c:pt>
                <c:pt idx="67">
                  <c:v>2.4500000000000002</c:v>
                </c:pt>
                <c:pt idx="68">
                  <c:v>2.48</c:v>
                </c:pt>
                <c:pt idx="69">
                  <c:v>2.5099999999999998</c:v>
                </c:pt>
                <c:pt idx="70">
                  <c:v>2.5299999999999998</c:v>
                </c:pt>
                <c:pt idx="71">
                  <c:v>2.56</c:v>
                </c:pt>
                <c:pt idx="72">
                  <c:v>2.58</c:v>
                </c:pt>
                <c:pt idx="73">
                  <c:v>2.61</c:v>
                </c:pt>
                <c:pt idx="74">
                  <c:v>2.64</c:v>
                </c:pt>
                <c:pt idx="75">
                  <c:v>2.66</c:v>
                </c:pt>
                <c:pt idx="76">
                  <c:v>2.69</c:v>
                </c:pt>
                <c:pt idx="77">
                  <c:v>2.71</c:v>
                </c:pt>
                <c:pt idx="78">
                  <c:v>2.74</c:v>
                </c:pt>
                <c:pt idx="79">
                  <c:v>2.77</c:v>
                </c:pt>
                <c:pt idx="80">
                  <c:v>2.8</c:v>
                </c:pt>
                <c:pt idx="81">
                  <c:v>2.82</c:v>
                </c:pt>
                <c:pt idx="82">
                  <c:v>2.85</c:v>
                </c:pt>
                <c:pt idx="83">
                  <c:v>2.88</c:v>
                </c:pt>
                <c:pt idx="84">
                  <c:v>2.9</c:v>
                </c:pt>
                <c:pt idx="85">
                  <c:v>2.93</c:v>
                </c:pt>
                <c:pt idx="86">
                  <c:v>2.95</c:v>
                </c:pt>
                <c:pt idx="87">
                  <c:v>2.98</c:v>
                </c:pt>
                <c:pt idx="88">
                  <c:v>3.01</c:v>
                </c:pt>
                <c:pt idx="89">
                  <c:v>3.04</c:v>
                </c:pt>
                <c:pt idx="90">
                  <c:v>3.06</c:v>
                </c:pt>
                <c:pt idx="91">
                  <c:v>3.09</c:v>
                </c:pt>
                <c:pt idx="92">
                  <c:v>3.12</c:v>
                </c:pt>
                <c:pt idx="93">
                  <c:v>3.14</c:v>
                </c:pt>
                <c:pt idx="94">
                  <c:v>3.17</c:v>
                </c:pt>
                <c:pt idx="95">
                  <c:v>3.19</c:v>
                </c:pt>
                <c:pt idx="96">
                  <c:v>3.22</c:v>
                </c:pt>
                <c:pt idx="97">
                  <c:v>3.24</c:v>
                </c:pt>
                <c:pt idx="98">
                  <c:v>3.27</c:v>
                </c:pt>
                <c:pt idx="99">
                  <c:v>3.29</c:v>
                </c:pt>
                <c:pt idx="100">
                  <c:v>3.31</c:v>
                </c:pt>
              </c:numCache>
            </c:numRef>
          </c:cat>
          <c:val>
            <c:numRef>
              <c:f>'Linear Regression '!$C$2:$C$102</c:f>
              <c:numCache>
                <c:formatCode>General</c:formatCode>
                <c:ptCount val="101"/>
                <c:pt idx="0">
                  <c:v>0.78</c:v>
                </c:pt>
                <c:pt idx="1">
                  <c:v>0.82</c:v>
                </c:pt>
                <c:pt idx="2">
                  <c:v>0.85</c:v>
                </c:pt>
                <c:pt idx="3">
                  <c:v>0.87</c:v>
                </c:pt>
                <c:pt idx="4">
                  <c:v>0.88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0.95</c:v>
                </c:pt>
                <c:pt idx="11">
                  <c:v>0.98</c:v>
                </c:pt>
                <c:pt idx="12">
                  <c:v>1.01</c:v>
                </c:pt>
                <c:pt idx="13">
                  <c:v>1.04</c:v>
                </c:pt>
                <c:pt idx="14">
                  <c:v>1.08</c:v>
                </c:pt>
                <c:pt idx="15">
                  <c:v>1.1100000000000001</c:v>
                </c:pt>
                <c:pt idx="16">
                  <c:v>1.1499999999999999</c:v>
                </c:pt>
                <c:pt idx="17">
                  <c:v>1.17</c:v>
                </c:pt>
                <c:pt idx="18">
                  <c:v>1.2</c:v>
                </c:pt>
                <c:pt idx="19">
                  <c:v>1.22</c:v>
                </c:pt>
                <c:pt idx="20">
                  <c:v>1.25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1.35</c:v>
                </c:pt>
                <c:pt idx="25">
                  <c:v>1.38</c:v>
                </c:pt>
                <c:pt idx="26">
                  <c:v>1.4</c:v>
                </c:pt>
                <c:pt idx="27">
                  <c:v>1.43</c:v>
                </c:pt>
                <c:pt idx="28">
                  <c:v>1.45</c:v>
                </c:pt>
                <c:pt idx="29">
                  <c:v>1.48</c:v>
                </c:pt>
                <c:pt idx="30">
                  <c:v>1.5</c:v>
                </c:pt>
                <c:pt idx="31">
                  <c:v>1.52</c:v>
                </c:pt>
                <c:pt idx="32">
                  <c:v>1.54</c:v>
                </c:pt>
                <c:pt idx="33">
                  <c:v>1.56</c:v>
                </c:pt>
                <c:pt idx="34">
                  <c:v>1.59</c:v>
                </c:pt>
                <c:pt idx="35">
                  <c:v>1.61</c:v>
                </c:pt>
                <c:pt idx="36">
                  <c:v>1.63</c:v>
                </c:pt>
                <c:pt idx="37">
                  <c:v>1.64</c:v>
                </c:pt>
                <c:pt idx="38">
                  <c:v>1.66</c:v>
                </c:pt>
                <c:pt idx="39">
                  <c:v>1.68</c:v>
                </c:pt>
                <c:pt idx="40">
                  <c:v>1.69</c:v>
                </c:pt>
                <c:pt idx="41">
                  <c:v>1.7</c:v>
                </c:pt>
                <c:pt idx="42">
                  <c:v>1.72</c:v>
                </c:pt>
                <c:pt idx="43">
                  <c:v>1.73</c:v>
                </c:pt>
                <c:pt idx="44">
                  <c:v>1.74</c:v>
                </c:pt>
                <c:pt idx="45">
                  <c:v>1.75</c:v>
                </c:pt>
                <c:pt idx="46">
                  <c:v>1.76</c:v>
                </c:pt>
                <c:pt idx="47">
                  <c:v>1.77</c:v>
                </c:pt>
                <c:pt idx="48">
                  <c:v>1.78</c:v>
                </c:pt>
                <c:pt idx="49">
                  <c:v>1.79</c:v>
                </c:pt>
                <c:pt idx="50">
                  <c:v>1.8</c:v>
                </c:pt>
                <c:pt idx="51">
                  <c:v>1.81</c:v>
                </c:pt>
                <c:pt idx="52">
                  <c:v>1.81</c:v>
                </c:pt>
                <c:pt idx="53">
                  <c:v>1.82</c:v>
                </c:pt>
                <c:pt idx="54">
                  <c:v>1.82</c:v>
                </c:pt>
                <c:pt idx="55">
                  <c:v>1.83</c:v>
                </c:pt>
                <c:pt idx="56">
                  <c:v>1.84</c:v>
                </c:pt>
                <c:pt idx="57">
                  <c:v>1.84</c:v>
                </c:pt>
                <c:pt idx="58">
                  <c:v>1.85</c:v>
                </c:pt>
                <c:pt idx="59">
                  <c:v>1.85</c:v>
                </c:pt>
                <c:pt idx="60">
                  <c:v>1.85</c:v>
                </c:pt>
                <c:pt idx="61">
                  <c:v>1.86</c:v>
                </c:pt>
                <c:pt idx="62">
                  <c:v>1.86</c:v>
                </c:pt>
                <c:pt idx="63">
                  <c:v>1.87</c:v>
                </c:pt>
                <c:pt idx="64">
                  <c:v>1.87</c:v>
                </c:pt>
                <c:pt idx="65">
                  <c:v>1.88</c:v>
                </c:pt>
                <c:pt idx="66">
                  <c:v>1.88</c:v>
                </c:pt>
                <c:pt idx="67">
                  <c:v>1.88</c:v>
                </c:pt>
                <c:pt idx="68">
                  <c:v>1.89</c:v>
                </c:pt>
                <c:pt idx="69">
                  <c:v>1.89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1.91</c:v>
                </c:pt>
                <c:pt idx="74">
                  <c:v>1.91</c:v>
                </c:pt>
                <c:pt idx="75">
                  <c:v>1.91</c:v>
                </c:pt>
                <c:pt idx="76">
                  <c:v>1.91</c:v>
                </c:pt>
                <c:pt idx="77">
                  <c:v>1.92</c:v>
                </c:pt>
                <c:pt idx="78">
                  <c:v>1.92</c:v>
                </c:pt>
                <c:pt idx="79">
                  <c:v>1.93</c:v>
                </c:pt>
                <c:pt idx="80">
                  <c:v>1.93</c:v>
                </c:pt>
                <c:pt idx="81">
                  <c:v>1.94</c:v>
                </c:pt>
                <c:pt idx="82">
                  <c:v>1.94</c:v>
                </c:pt>
                <c:pt idx="83">
                  <c:v>1.94</c:v>
                </c:pt>
                <c:pt idx="84">
                  <c:v>1.95</c:v>
                </c:pt>
                <c:pt idx="85">
                  <c:v>1.95</c:v>
                </c:pt>
                <c:pt idx="86">
                  <c:v>1.95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1.97</c:v>
                </c:pt>
                <c:pt idx="91">
                  <c:v>1.97</c:v>
                </c:pt>
                <c:pt idx="92">
                  <c:v>1.98</c:v>
                </c:pt>
                <c:pt idx="93">
                  <c:v>1.98</c:v>
                </c:pt>
                <c:pt idx="94">
                  <c:v>1.98</c:v>
                </c:pt>
                <c:pt idx="95">
                  <c:v>1.99</c:v>
                </c:pt>
                <c:pt idx="96">
                  <c:v>1.99</c:v>
                </c:pt>
                <c:pt idx="97">
                  <c:v>1.99</c:v>
                </c:pt>
                <c:pt idx="98">
                  <c:v>1.99</c:v>
                </c:pt>
                <c:pt idx="99">
                  <c:v>2</c:v>
                </c:pt>
                <c:pt idx="10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D1-41BC-9BA7-0CA1796C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361991"/>
        <c:axId val="1592367623"/>
      </c:lineChart>
      <c:catAx>
        <c:axId val="159236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67623"/>
        <c:crosses val="autoZero"/>
        <c:auto val="1"/>
        <c:lblAlgn val="ctr"/>
        <c:lblOffset val="100"/>
        <c:noMultiLvlLbl val="1"/>
      </c:catAx>
      <c:valAx>
        <c:axId val="1592367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6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</a:t>
            </a:r>
            <a:r>
              <a:rPr lang="en-US" baseline="0"/>
              <a:t> Analysis for Coal to Temperature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 Analysis_for coal'!$C$2</c:f>
              <c:strCache>
                <c:ptCount val="1"/>
                <c:pt idx="0">
                  <c:v>Current Scenario_Temp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'Sensitivity Analysis_for coal'!$C$3:$C$103</c:f>
              <c:numCache>
                <c:formatCode>General</c:formatCode>
                <c:ptCount val="101"/>
                <c:pt idx="0">
                  <c:v>0.78</c:v>
                </c:pt>
                <c:pt idx="1">
                  <c:v>0.82</c:v>
                </c:pt>
                <c:pt idx="2">
                  <c:v>0.85</c:v>
                </c:pt>
                <c:pt idx="3">
                  <c:v>0.87</c:v>
                </c:pt>
                <c:pt idx="4">
                  <c:v>0.88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0.95</c:v>
                </c:pt>
                <c:pt idx="11">
                  <c:v>0.98</c:v>
                </c:pt>
                <c:pt idx="12">
                  <c:v>1.01</c:v>
                </c:pt>
                <c:pt idx="13">
                  <c:v>1.04</c:v>
                </c:pt>
                <c:pt idx="14">
                  <c:v>1.08</c:v>
                </c:pt>
                <c:pt idx="15">
                  <c:v>1.1100000000000001</c:v>
                </c:pt>
                <c:pt idx="16">
                  <c:v>1.1499999999999999</c:v>
                </c:pt>
                <c:pt idx="17">
                  <c:v>1.17</c:v>
                </c:pt>
                <c:pt idx="18">
                  <c:v>1.2</c:v>
                </c:pt>
                <c:pt idx="19">
                  <c:v>1.22</c:v>
                </c:pt>
                <c:pt idx="20">
                  <c:v>1.25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1.35</c:v>
                </c:pt>
                <c:pt idx="25">
                  <c:v>1.38</c:v>
                </c:pt>
                <c:pt idx="26">
                  <c:v>1.4</c:v>
                </c:pt>
                <c:pt idx="27">
                  <c:v>1.43</c:v>
                </c:pt>
                <c:pt idx="28">
                  <c:v>1.45</c:v>
                </c:pt>
                <c:pt idx="29">
                  <c:v>1.48</c:v>
                </c:pt>
                <c:pt idx="30">
                  <c:v>1.5</c:v>
                </c:pt>
                <c:pt idx="31">
                  <c:v>1.52</c:v>
                </c:pt>
                <c:pt idx="32">
                  <c:v>1.54</c:v>
                </c:pt>
                <c:pt idx="33">
                  <c:v>1.56</c:v>
                </c:pt>
                <c:pt idx="34">
                  <c:v>1.59</c:v>
                </c:pt>
                <c:pt idx="35">
                  <c:v>1.61</c:v>
                </c:pt>
                <c:pt idx="36">
                  <c:v>1.63</c:v>
                </c:pt>
                <c:pt idx="37">
                  <c:v>1.64</c:v>
                </c:pt>
                <c:pt idx="38">
                  <c:v>1.66</c:v>
                </c:pt>
                <c:pt idx="39">
                  <c:v>1.68</c:v>
                </c:pt>
                <c:pt idx="40">
                  <c:v>1.69</c:v>
                </c:pt>
                <c:pt idx="41">
                  <c:v>1.7</c:v>
                </c:pt>
                <c:pt idx="42">
                  <c:v>1.72</c:v>
                </c:pt>
                <c:pt idx="43">
                  <c:v>1.73</c:v>
                </c:pt>
                <c:pt idx="44">
                  <c:v>1.74</c:v>
                </c:pt>
                <c:pt idx="45">
                  <c:v>1.75</c:v>
                </c:pt>
                <c:pt idx="46">
                  <c:v>1.76</c:v>
                </c:pt>
                <c:pt idx="47">
                  <c:v>1.77</c:v>
                </c:pt>
                <c:pt idx="48">
                  <c:v>1.78</c:v>
                </c:pt>
                <c:pt idx="49">
                  <c:v>1.79</c:v>
                </c:pt>
                <c:pt idx="50">
                  <c:v>1.8</c:v>
                </c:pt>
                <c:pt idx="51">
                  <c:v>1.81</c:v>
                </c:pt>
                <c:pt idx="52">
                  <c:v>1.81</c:v>
                </c:pt>
                <c:pt idx="53">
                  <c:v>1.82</c:v>
                </c:pt>
                <c:pt idx="54">
                  <c:v>1.82</c:v>
                </c:pt>
                <c:pt idx="55">
                  <c:v>1.83</c:v>
                </c:pt>
                <c:pt idx="56">
                  <c:v>1.84</c:v>
                </c:pt>
                <c:pt idx="57">
                  <c:v>1.84</c:v>
                </c:pt>
                <c:pt idx="58">
                  <c:v>1.85</c:v>
                </c:pt>
                <c:pt idx="59">
                  <c:v>1.85</c:v>
                </c:pt>
                <c:pt idx="60">
                  <c:v>1.85</c:v>
                </c:pt>
                <c:pt idx="61">
                  <c:v>1.86</c:v>
                </c:pt>
                <c:pt idx="62">
                  <c:v>1.86</c:v>
                </c:pt>
                <c:pt idx="63">
                  <c:v>1.87</c:v>
                </c:pt>
                <c:pt idx="64">
                  <c:v>1.87</c:v>
                </c:pt>
                <c:pt idx="65">
                  <c:v>1.88</c:v>
                </c:pt>
                <c:pt idx="66">
                  <c:v>1.88</c:v>
                </c:pt>
                <c:pt idx="67">
                  <c:v>1.88</c:v>
                </c:pt>
                <c:pt idx="68">
                  <c:v>1.89</c:v>
                </c:pt>
                <c:pt idx="69">
                  <c:v>1.89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1.91</c:v>
                </c:pt>
                <c:pt idx="74">
                  <c:v>1.91</c:v>
                </c:pt>
                <c:pt idx="75">
                  <c:v>1.91</c:v>
                </c:pt>
                <c:pt idx="76">
                  <c:v>1.91</c:v>
                </c:pt>
                <c:pt idx="77">
                  <c:v>1.92</c:v>
                </c:pt>
                <c:pt idx="78">
                  <c:v>1.92</c:v>
                </c:pt>
                <c:pt idx="79">
                  <c:v>1.93</c:v>
                </c:pt>
                <c:pt idx="80">
                  <c:v>1.93</c:v>
                </c:pt>
                <c:pt idx="81">
                  <c:v>1.94</c:v>
                </c:pt>
                <c:pt idx="82">
                  <c:v>1.94</c:v>
                </c:pt>
                <c:pt idx="83">
                  <c:v>1.94</c:v>
                </c:pt>
                <c:pt idx="84">
                  <c:v>1.95</c:v>
                </c:pt>
                <c:pt idx="85">
                  <c:v>1.95</c:v>
                </c:pt>
                <c:pt idx="86">
                  <c:v>1.95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1.97</c:v>
                </c:pt>
                <c:pt idx="91">
                  <c:v>1.97</c:v>
                </c:pt>
                <c:pt idx="92">
                  <c:v>1.98</c:v>
                </c:pt>
                <c:pt idx="93">
                  <c:v>1.98</c:v>
                </c:pt>
                <c:pt idx="94">
                  <c:v>1.98</c:v>
                </c:pt>
                <c:pt idx="95">
                  <c:v>1.99</c:v>
                </c:pt>
                <c:pt idx="96">
                  <c:v>1.99</c:v>
                </c:pt>
                <c:pt idx="97">
                  <c:v>1.99</c:v>
                </c:pt>
                <c:pt idx="98">
                  <c:v>1.99</c:v>
                </c:pt>
                <c:pt idx="99">
                  <c:v>2</c:v>
                </c:pt>
                <c:pt idx="1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B-407E-96FD-ABF14436BC20}"/>
            </c:ext>
          </c:extLst>
        </c:ser>
        <c:ser>
          <c:idx val="1"/>
          <c:order val="1"/>
          <c:tx>
            <c:strRef>
              <c:f>'Sensitivity Analysis_for coal'!$F$2</c:f>
              <c:strCache>
                <c:ptCount val="1"/>
                <c:pt idx="0">
                  <c:v>Temp+10%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'Sensitivity Analysis_for coal'!$F$3:$F$103</c:f>
              <c:numCache>
                <c:formatCode>General</c:formatCode>
                <c:ptCount val="101"/>
                <c:pt idx="0">
                  <c:v>2.4639204000000001</c:v>
                </c:pt>
                <c:pt idx="1">
                  <c:v>2.4977982000000001</c:v>
                </c:pt>
                <c:pt idx="2">
                  <c:v>2.5311568000000002</c:v>
                </c:pt>
                <c:pt idx="3">
                  <c:v>2.5651644000000005</c:v>
                </c:pt>
                <c:pt idx="4">
                  <c:v>2.6035852000000004</c:v>
                </c:pt>
                <c:pt idx="5">
                  <c:v>2.6478470000000005</c:v>
                </c:pt>
                <c:pt idx="6">
                  <c:v>2.6948346000000001</c:v>
                </c:pt>
                <c:pt idx="7">
                  <c:v>2.7450672000000003</c:v>
                </c:pt>
                <c:pt idx="8">
                  <c:v>2.7946508000000003</c:v>
                </c:pt>
                <c:pt idx="9">
                  <c:v>2.8299564000000004</c:v>
                </c:pt>
                <c:pt idx="10">
                  <c:v>2.8489072000000002</c:v>
                </c:pt>
                <c:pt idx="11">
                  <c:v>2.8826552000000003</c:v>
                </c:pt>
                <c:pt idx="12">
                  <c:v>2.9179608000000004</c:v>
                </c:pt>
                <c:pt idx="13">
                  <c:v>2.9489830000000001</c:v>
                </c:pt>
                <c:pt idx="14">
                  <c:v>2.9774091999999999</c:v>
                </c:pt>
                <c:pt idx="15">
                  <c:v>3.0044076000000004</c:v>
                </c:pt>
                <c:pt idx="16">
                  <c:v>3.0255650000000003</c:v>
                </c:pt>
                <c:pt idx="17">
                  <c:v>3.0423092</c:v>
                </c:pt>
                <c:pt idx="18">
                  <c:v>3.0584044000000006</c:v>
                </c:pt>
                <c:pt idx="19">
                  <c:v>3.0702162</c:v>
                </c:pt>
                <c:pt idx="20">
                  <c:v>3.0594428000000002</c:v>
                </c:pt>
                <c:pt idx="21">
                  <c:v>3.0249160000000002</c:v>
                </c:pt>
                <c:pt idx="22">
                  <c:v>3.0264736000000001</c:v>
                </c:pt>
                <c:pt idx="23">
                  <c:v>3.0320550000000002</c:v>
                </c:pt>
                <c:pt idx="24">
                  <c:v>3.0367278000000004</c:v>
                </c:pt>
                <c:pt idx="25">
                  <c:v>3.0352999999999999</c:v>
                </c:pt>
                <c:pt idx="26">
                  <c:v>2.9679338000000004</c:v>
                </c:pt>
                <c:pt idx="27">
                  <c:v>2.8666898000000005</c:v>
                </c:pt>
                <c:pt idx="28">
                  <c:v>2.7663544000000004</c:v>
                </c:pt>
                <c:pt idx="29">
                  <c:v>2.668615</c:v>
                </c:pt>
                <c:pt idx="30">
                  <c:v>2.5713948000000002</c:v>
                </c:pt>
                <c:pt idx="31">
                  <c:v>2.4733958</c:v>
                </c:pt>
                <c:pt idx="32">
                  <c:v>2.3742286000000004</c:v>
                </c:pt>
                <c:pt idx="33">
                  <c:v>2.2748018000000001</c:v>
                </c:pt>
                <c:pt idx="34">
                  <c:v>2.1768027999999999</c:v>
                </c:pt>
                <c:pt idx="35">
                  <c:v>2.0820487999999999</c:v>
                </c:pt>
                <c:pt idx="36">
                  <c:v>2.0019622000000004</c:v>
                </c:pt>
                <c:pt idx="37">
                  <c:v>1.9352450000000001</c:v>
                </c:pt>
                <c:pt idx="38">
                  <c:v>1.8774840000000002</c:v>
                </c:pt>
                <c:pt idx="39">
                  <c:v>1.8297176000000002</c:v>
                </c:pt>
                <c:pt idx="40">
                  <c:v>1.7954504</c:v>
                </c:pt>
                <c:pt idx="41">
                  <c:v>1.7729950000000001</c:v>
                </c:pt>
                <c:pt idx="42">
                  <c:v>1.7604044000000001</c:v>
                </c:pt>
                <c:pt idx="43">
                  <c:v>1.7545634000000001</c:v>
                </c:pt>
                <c:pt idx="44">
                  <c:v>1.7487224000000001</c:v>
                </c:pt>
                <c:pt idx="45">
                  <c:v>1.7374298000000001</c:v>
                </c:pt>
                <c:pt idx="46">
                  <c:v>1.7204260000000002</c:v>
                </c:pt>
                <c:pt idx="47">
                  <c:v>1.7009560000000001</c:v>
                </c:pt>
                <c:pt idx="48">
                  <c:v>1.6829138000000001</c:v>
                </c:pt>
                <c:pt idx="49">
                  <c:v>1.6683762</c:v>
                </c:pt>
                <c:pt idx="50">
                  <c:v>1.6576028000000003</c:v>
                </c:pt>
                <c:pt idx="51">
                  <c:v>1.6495552</c:v>
                </c:pt>
                <c:pt idx="52">
                  <c:v>1.6426758000000001</c:v>
                </c:pt>
                <c:pt idx="53">
                  <c:v>1.6359262000000001</c:v>
                </c:pt>
                <c:pt idx="54">
                  <c:v>1.6286574000000003</c:v>
                </c:pt>
                <c:pt idx="55">
                  <c:v>1.6204800000000001</c:v>
                </c:pt>
                <c:pt idx="56">
                  <c:v>1.6116536000000001</c:v>
                </c:pt>
                <c:pt idx="57">
                  <c:v>1.6024378000000001</c:v>
                </c:pt>
                <c:pt idx="58">
                  <c:v>1.5932219999999999</c:v>
                </c:pt>
                <c:pt idx="59">
                  <c:v>1.5841360000000002</c:v>
                </c:pt>
                <c:pt idx="60">
                  <c:v>1.5751798000000001</c:v>
                </c:pt>
                <c:pt idx="61">
                  <c:v>1.5664832000000002</c:v>
                </c:pt>
                <c:pt idx="62">
                  <c:v>1.5577866</c:v>
                </c:pt>
                <c:pt idx="63">
                  <c:v>1.5493496000000002</c:v>
                </c:pt>
                <c:pt idx="64">
                  <c:v>1.5411722000000001</c:v>
                </c:pt>
                <c:pt idx="65">
                  <c:v>1.533514</c:v>
                </c:pt>
                <c:pt idx="66">
                  <c:v>1.526375</c:v>
                </c:pt>
                <c:pt idx="67">
                  <c:v>1.5197552000000001</c:v>
                </c:pt>
                <c:pt idx="68">
                  <c:v>1.5135248000000001</c:v>
                </c:pt>
                <c:pt idx="69">
                  <c:v>1.5078136000000002</c:v>
                </c:pt>
                <c:pt idx="70">
                  <c:v>1.5023620000000002</c:v>
                </c:pt>
                <c:pt idx="71">
                  <c:v>1.4970402</c:v>
                </c:pt>
                <c:pt idx="72">
                  <c:v>1.4918482000000002</c:v>
                </c:pt>
                <c:pt idx="73">
                  <c:v>1.4867860000000002</c:v>
                </c:pt>
                <c:pt idx="74">
                  <c:v>1.4819834000000001</c:v>
                </c:pt>
                <c:pt idx="75">
                  <c:v>1.4771808000000002</c:v>
                </c:pt>
                <c:pt idx="76">
                  <c:v>1.4727676000000001</c:v>
                </c:pt>
                <c:pt idx="77">
                  <c:v>1.4684842</c:v>
                </c:pt>
                <c:pt idx="78">
                  <c:v>1.4644604000000001</c:v>
                </c:pt>
                <c:pt idx="79">
                  <c:v>1.4608260000000002</c:v>
                </c:pt>
                <c:pt idx="80">
                  <c:v>1.4574511999999999</c:v>
                </c:pt>
                <c:pt idx="81">
                  <c:v>1.4544658000000001</c:v>
                </c:pt>
                <c:pt idx="82">
                  <c:v>1.4518698000000001</c:v>
                </c:pt>
                <c:pt idx="83">
                  <c:v>1.4494036000000001</c:v>
                </c:pt>
                <c:pt idx="84">
                  <c:v>1.4473268000000001</c:v>
                </c:pt>
                <c:pt idx="85">
                  <c:v>1.4455096000000001</c:v>
                </c:pt>
                <c:pt idx="86">
                  <c:v>1.4436924000000002</c:v>
                </c:pt>
                <c:pt idx="87">
                  <c:v>1.4421348</c:v>
                </c:pt>
                <c:pt idx="88">
                  <c:v>1.4407070000000002</c:v>
                </c:pt>
                <c:pt idx="89">
                  <c:v>1.4394090000000002</c:v>
                </c:pt>
                <c:pt idx="90">
                  <c:v>1.4382408000000002</c:v>
                </c:pt>
                <c:pt idx="91">
                  <c:v>1.4372024000000001</c:v>
                </c:pt>
                <c:pt idx="92">
                  <c:v>1.4362938000000001</c:v>
                </c:pt>
                <c:pt idx="93">
                  <c:v>1.4355150000000001</c:v>
                </c:pt>
                <c:pt idx="94">
                  <c:v>1.4348660000000002</c:v>
                </c:pt>
                <c:pt idx="95">
                  <c:v>1.4343468000000001</c:v>
                </c:pt>
                <c:pt idx="96">
                  <c:v>1.4339574000000002</c:v>
                </c:pt>
                <c:pt idx="97">
                  <c:v>1.4335680000000002</c:v>
                </c:pt>
                <c:pt idx="98">
                  <c:v>1.4334382000000001</c:v>
                </c:pt>
                <c:pt idx="99">
                  <c:v>1.4333084</c:v>
                </c:pt>
                <c:pt idx="100">
                  <c:v>1.4331786000000002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B-407E-96FD-ABF14436BC20}"/>
            </c:ext>
          </c:extLst>
        </c:ser>
        <c:ser>
          <c:idx val="2"/>
          <c:order val="2"/>
          <c:tx>
            <c:strRef>
              <c:f>'Sensitivity Analysis_for coal'!$H$2</c:f>
              <c:strCache>
                <c:ptCount val="1"/>
                <c:pt idx="0">
                  <c:v>Temp-10%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'Sensitivity Analysis_for coal'!$H$3:$H$103</c:f>
              <c:numCache>
                <c:formatCode>General</c:formatCode>
                <c:ptCount val="101"/>
                <c:pt idx="0">
                  <c:v>2.2020076</c:v>
                </c:pt>
                <c:pt idx="1">
                  <c:v>2.2297258000000002</c:v>
                </c:pt>
                <c:pt idx="2">
                  <c:v>2.2570192000000002</c:v>
                </c:pt>
                <c:pt idx="3">
                  <c:v>2.2848436000000003</c:v>
                </c:pt>
                <c:pt idx="4">
                  <c:v>2.3162788000000001</c:v>
                </c:pt>
                <c:pt idx="5">
                  <c:v>2.3524929999999999</c:v>
                </c:pt>
                <c:pt idx="6">
                  <c:v>2.3909374000000003</c:v>
                </c:pt>
                <c:pt idx="7">
                  <c:v>2.4320367999999997</c:v>
                </c:pt>
                <c:pt idx="8">
                  <c:v>2.4726052000000003</c:v>
                </c:pt>
                <c:pt idx="9">
                  <c:v>2.5014916000000005</c:v>
                </c:pt>
                <c:pt idx="10">
                  <c:v>2.5169968000000003</c:v>
                </c:pt>
                <c:pt idx="11">
                  <c:v>2.5446088000000007</c:v>
                </c:pt>
                <c:pt idx="12">
                  <c:v>2.5734952</c:v>
                </c:pt>
                <c:pt idx="13">
                  <c:v>2.5988769999999999</c:v>
                </c:pt>
                <c:pt idx="14">
                  <c:v>2.6221348</c:v>
                </c:pt>
                <c:pt idx="15">
                  <c:v>2.6442244000000001</c:v>
                </c:pt>
                <c:pt idx="16">
                  <c:v>2.6615350000000002</c:v>
                </c:pt>
                <c:pt idx="17">
                  <c:v>2.6752348000000001</c:v>
                </c:pt>
                <c:pt idx="18">
                  <c:v>2.6884036</c:v>
                </c:pt>
                <c:pt idx="19">
                  <c:v>2.6980678</c:v>
                </c:pt>
                <c:pt idx="20">
                  <c:v>2.6892532000000005</c:v>
                </c:pt>
                <c:pt idx="21">
                  <c:v>2.6610040000000001</c:v>
                </c:pt>
                <c:pt idx="22">
                  <c:v>2.6622783999999999</c:v>
                </c:pt>
                <c:pt idx="23">
                  <c:v>2.6668450000000004</c:v>
                </c:pt>
                <c:pt idx="24">
                  <c:v>2.6706682000000002</c:v>
                </c:pt>
                <c:pt idx="25">
                  <c:v>2.6695000000000002</c:v>
                </c:pt>
                <c:pt idx="26">
                  <c:v>2.6143822000000001</c:v>
                </c:pt>
                <c:pt idx="27">
                  <c:v>2.5315462000000002</c:v>
                </c:pt>
                <c:pt idx="28">
                  <c:v>2.4494536</c:v>
                </c:pt>
                <c:pt idx="29">
                  <c:v>2.3694850000000001</c:v>
                </c:pt>
                <c:pt idx="30">
                  <c:v>2.2899412000000003</c:v>
                </c:pt>
                <c:pt idx="31">
                  <c:v>2.2097601999999998</c:v>
                </c:pt>
                <c:pt idx="32">
                  <c:v>2.1286233999999999</c:v>
                </c:pt>
                <c:pt idx="33">
                  <c:v>2.0472742000000004</c:v>
                </c:pt>
                <c:pt idx="34">
                  <c:v>1.9670932000000001</c:v>
                </c:pt>
                <c:pt idx="35">
                  <c:v>1.8895672000000001</c:v>
                </c:pt>
                <c:pt idx="36">
                  <c:v>1.8240418</c:v>
                </c:pt>
                <c:pt idx="37">
                  <c:v>1.7694550000000002</c:v>
                </c:pt>
                <c:pt idx="38">
                  <c:v>1.7221960000000001</c:v>
                </c:pt>
                <c:pt idx="39">
                  <c:v>1.6831144</c:v>
                </c:pt>
                <c:pt idx="40">
                  <c:v>1.6550776</c:v>
                </c:pt>
                <c:pt idx="41">
                  <c:v>1.6367050000000001</c:v>
                </c:pt>
                <c:pt idx="42">
                  <c:v>1.6264036000000002</c:v>
                </c:pt>
                <c:pt idx="43">
                  <c:v>1.6216246000000001</c:v>
                </c:pt>
                <c:pt idx="44">
                  <c:v>1.6168456</c:v>
                </c:pt>
                <c:pt idx="45">
                  <c:v>1.6076062000000002</c:v>
                </c:pt>
                <c:pt idx="46">
                  <c:v>1.5936940000000002</c:v>
                </c:pt>
                <c:pt idx="47">
                  <c:v>1.5777640000000002</c:v>
                </c:pt>
                <c:pt idx="48">
                  <c:v>1.5630022000000001</c:v>
                </c:pt>
                <c:pt idx="49">
                  <c:v>1.5511078</c:v>
                </c:pt>
                <c:pt idx="50">
                  <c:v>1.5422932</c:v>
                </c:pt>
                <c:pt idx="51">
                  <c:v>1.5357088000000001</c:v>
                </c:pt>
                <c:pt idx="52">
                  <c:v>1.5300802</c:v>
                </c:pt>
                <c:pt idx="53">
                  <c:v>1.5245578000000002</c:v>
                </c:pt>
                <c:pt idx="54">
                  <c:v>1.5186106000000001</c:v>
                </c:pt>
                <c:pt idx="55">
                  <c:v>1.5119199999999999</c:v>
                </c:pt>
                <c:pt idx="56">
                  <c:v>1.5046984000000001</c:v>
                </c:pt>
                <c:pt idx="57">
                  <c:v>1.4971582000000001</c:v>
                </c:pt>
                <c:pt idx="58">
                  <c:v>1.4896180000000001</c:v>
                </c:pt>
                <c:pt idx="59">
                  <c:v>1.4821840000000002</c:v>
                </c:pt>
                <c:pt idx="60">
                  <c:v>1.4748562000000001</c:v>
                </c:pt>
                <c:pt idx="61">
                  <c:v>1.4677408000000001</c:v>
                </c:pt>
                <c:pt idx="62">
                  <c:v>1.4606254000000001</c:v>
                </c:pt>
                <c:pt idx="63">
                  <c:v>1.4537224000000002</c:v>
                </c:pt>
                <c:pt idx="64">
                  <c:v>1.4470318</c:v>
                </c:pt>
                <c:pt idx="65">
                  <c:v>1.440766</c:v>
                </c:pt>
                <c:pt idx="66">
                  <c:v>1.434925</c:v>
                </c:pt>
                <c:pt idx="67">
                  <c:v>1.4295088000000002</c:v>
                </c:pt>
                <c:pt idx="68">
                  <c:v>1.4244112000000002</c:v>
                </c:pt>
                <c:pt idx="69">
                  <c:v>1.4197384</c:v>
                </c:pt>
                <c:pt idx="70">
                  <c:v>1.415278</c:v>
                </c:pt>
                <c:pt idx="71">
                  <c:v>1.4109238000000002</c:v>
                </c:pt>
                <c:pt idx="72">
                  <c:v>1.4066758000000001</c:v>
                </c:pt>
                <c:pt idx="73">
                  <c:v>1.4025340000000002</c:v>
                </c:pt>
                <c:pt idx="74">
                  <c:v>1.3986046000000001</c:v>
                </c:pt>
                <c:pt idx="75">
                  <c:v>1.3946752</c:v>
                </c:pt>
                <c:pt idx="76">
                  <c:v>1.3910644000000001</c:v>
                </c:pt>
                <c:pt idx="77">
                  <c:v>1.3875598</c:v>
                </c:pt>
                <c:pt idx="78">
                  <c:v>1.3842676</c:v>
                </c:pt>
                <c:pt idx="79">
                  <c:v>1.381294</c:v>
                </c:pt>
                <c:pt idx="80">
                  <c:v>1.3785328000000001</c:v>
                </c:pt>
                <c:pt idx="81">
                  <c:v>1.3760902000000002</c:v>
                </c:pt>
                <c:pt idx="82">
                  <c:v>1.3739662000000001</c:v>
                </c:pt>
                <c:pt idx="83">
                  <c:v>1.3719484</c:v>
                </c:pt>
                <c:pt idx="84">
                  <c:v>1.3702491999999999</c:v>
                </c:pt>
                <c:pt idx="85">
                  <c:v>1.3687624</c:v>
                </c:pt>
                <c:pt idx="86">
                  <c:v>1.3672756000000001</c:v>
                </c:pt>
                <c:pt idx="87">
                  <c:v>1.3660012000000001</c:v>
                </c:pt>
                <c:pt idx="88">
                  <c:v>1.364833</c:v>
                </c:pt>
                <c:pt idx="89">
                  <c:v>1.3637710000000001</c:v>
                </c:pt>
                <c:pt idx="90">
                  <c:v>1.3628152</c:v>
                </c:pt>
                <c:pt idx="91">
                  <c:v>1.3619656</c:v>
                </c:pt>
                <c:pt idx="92">
                  <c:v>1.3612222</c:v>
                </c:pt>
                <c:pt idx="93">
                  <c:v>1.3605849999999999</c:v>
                </c:pt>
                <c:pt idx="94">
                  <c:v>1.3600540000000001</c:v>
                </c:pt>
                <c:pt idx="95">
                  <c:v>1.3596292000000001</c:v>
                </c:pt>
                <c:pt idx="96">
                  <c:v>1.3593106000000001</c:v>
                </c:pt>
                <c:pt idx="97">
                  <c:v>1.3589920000000002</c:v>
                </c:pt>
                <c:pt idx="98">
                  <c:v>1.3588858000000001</c:v>
                </c:pt>
                <c:pt idx="99">
                  <c:v>1.3587796000000001</c:v>
                </c:pt>
                <c:pt idx="100">
                  <c:v>1.3586734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B-407E-96FD-ABF14436B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58463"/>
        <c:axId val="105627759"/>
      </c:lineChart>
      <c:catAx>
        <c:axId val="67955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7759"/>
        <c:crosses val="autoZero"/>
        <c:auto val="1"/>
        <c:lblAlgn val="ctr"/>
        <c:lblOffset val="100"/>
        <c:noMultiLvlLbl val="0"/>
      </c:catAx>
      <c:valAx>
        <c:axId val="105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graph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 Analysis'!$B$2</c:f>
              <c:strCache>
                <c:ptCount val="1"/>
                <c:pt idx="0">
                  <c:v>Coal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Analysis'!$B$3:$B$103</c:f>
              <c:numCache>
                <c:formatCode>General</c:formatCode>
                <c:ptCount val="101"/>
                <c:pt idx="0">
                  <c:v>110.98</c:v>
                </c:pt>
                <c:pt idx="1">
                  <c:v>113.59</c:v>
                </c:pt>
                <c:pt idx="2">
                  <c:v>116.16</c:v>
                </c:pt>
                <c:pt idx="3">
                  <c:v>118.78</c:v>
                </c:pt>
                <c:pt idx="4">
                  <c:v>121.74</c:v>
                </c:pt>
                <c:pt idx="5">
                  <c:v>125.15</c:v>
                </c:pt>
                <c:pt idx="6">
                  <c:v>128.77000000000001</c:v>
                </c:pt>
                <c:pt idx="7">
                  <c:v>132.63999999999999</c:v>
                </c:pt>
                <c:pt idx="8">
                  <c:v>136.46</c:v>
                </c:pt>
                <c:pt idx="9">
                  <c:v>139.18</c:v>
                </c:pt>
                <c:pt idx="10">
                  <c:v>140.63999999999999</c:v>
                </c:pt>
                <c:pt idx="11">
                  <c:v>143.24</c:v>
                </c:pt>
                <c:pt idx="12">
                  <c:v>145.96</c:v>
                </c:pt>
                <c:pt idx="13">
                  <c:v>148.35</c:v>
                </c:pt>
                <c:pt idx="14">
                  <c:v>150.54</c:v>
                </c:pt>
                <c:pt idx="15">
                  <c:v>152.62</c:v>
                </c:pt>
                <c:pt idx="16">
                  <c:v>154.25</c:v>
                </c:pt>
                <c:pt idx="17">
                  <c:v>155.54</c:v>
                </c:pt>
                <c:pt idx="18">
                  <c:v>156.78</c:v>
                </c:pt>
                <c:pt idx="19">
                  <c:v>157.69</c:v>
                </c:pt>
                <c:pt idx="20">
                  <c:v>156.86000000000001</c:v>
                </c:pt>
                <c:pt idx="21">
                  <c:v>154.19999999999999</c:v>
                </c:pt>
                <c:pt idx="22">
                  <c:v>154.32</c:v>
                </c:pt>
                <c:pt idx="23">
                  <c:v>154.75</c:v>
                </c:pt>
                <c:pt idx="24">
                  <c:v>155.11000000000001</c:v>
                </c:pt>
                <c:pt idx="25">
                  <c:v>155</c:v>
                </c:pt>
                <c:pt idx="26">
                  <c:v>149.81</c:v>
                </c:pt>
                <c:pt idx="27">
                  <c:v>142.01</c:v>
                </c:pt>
                <c:pt idx="28">
                  <c:v>134.28</c:v>
                </c:pt>
                <c:pt idx="29">
                  <c:v>126.75</c:v>
                </c:pt>
                <c:pt idx="30">
                  <c:v>119.26</c:v>
                </c:pt>
                <c:pt idx="31">
                  <c:v>111.71</c:v>
                </c:pt>
                <c:pt idx="32">
                  <c:v>104.07</c:v>
                </c:pt>
                <c:pt idx="33">
                  <c:v>96.41</c:v>
                </c:pt>
                <c:pt idx="34">
                  <c:v>88.86</c:v>
                </c:pt>
                <c:pt idx="35">
                  <c:v>81.56</c:v>
                </c:pt>
                <c:pt idx="36">
                  <c:v>75.39</c:v>
                </c:pt>
                <c:pt idx="37">
                  <c:v>70.25</c:v>
                </c:pt>
                <c:pt idx="38">
                  <c:v>65.8</c:v>
                </c:pt>
                <c:pt idx="39">
                  <c:v>62.12</c:v>
                </c:pt>
                <c:pt idx="40">
                  <c:v>59.48</c:v>
                </c:pt>
                <c:pt idx="41">
                  <c:v>57.75</c:v>
                </c:pt>
                <c:pt idx="42">
                  <c:v>56.78</c:v>
                </c:pt>
                <c:pt idx="43">
                  <c:v>56.33</c:v>
                </c:pt>
                <c:pt idx="44">
                  <c:v>55.88</c:v>
                </c:pt>
                <c:pt idx="45">
                  <c:v>55.01</c:v>
                </c:pt>
                <c:pt idx="46">
                  <c:v>53.7</c:v>
                </c:pt>
                <c:pt idx="47">
                  <c:v>52.2</c:v>
                </c:pt>
                <c:pt idx="48">
                  <c:v>50.81</c:v>
                </c:pt>
                <c:pt idx="49">
                  <c:v>49.69</c:v>
                </c:pt>
                <c:pt idx="50">
                  <c:v>48.86</c:v>
                </c:pt>
                <c:pt idx="51">
                  <c:v>48.24</c:v>
                </c:pt>
                <c:pt idx="52">
                  <c:v>47.71</c:v>
                </c:pt>
                <c:pt idx="53">
                  <c:v>47.19</c:v>
                </c:pt>
                <c:pt idx="54">
                  <c:v>46.63</c:v>
                </c:pt>
                <c:pt idx="55">
                  <c:v>46</c:v>
                </c:pt>
                <c:pt idx="56">
                  <c:v>45.32</c:v>
                </c:pt>
                <c:pt idx="57">
                  <c:v>44.61</c:v>
                </c:pt>
                <c:pt idx="58">
                  <c:v>43.9</c:v>
                </c:pt>
                <c:pt idx="59">
                  <c:v>43.2</c:v>
                </c:pt>
                <c:pt idx="60">
                  <c:v>42.51</c:v>
                </c:pt>
                <c:pt idx="61">
                  <c:v>41.84</c:v>
                </c:pt>
                <c:pt idx="62">
                  <c:v>41.17</c:v>
                </c:pt>
                <c:pt idx="63">
                  <c:v>40.520000000000003</c:v>
                </c:pt>
                <c:pt idx="64">
                  <c:v>39.89</c:v>
                </c:pt>
                <c:pt idx="65">
                  <c:v>39.299999999999997</c:v>
                </c:pt>
                <c:pt idx="66">
                  <c:v>38.75</c:v>
                </c:pt>
                <c:pt idx="67">
                  <c:v>38.24</c:v>
                </c:pt>
                <c:pt idx="68">
                  <c:v>37.76</c:v>
                </c:pt>
                <c:pt idx="69">
                  <c:v>37.32</c:v>
                </c:pt>
                <c:pt idx="70">
                  <c:v>36.9</c:v>
                </c:pt>
                <c:pt idx="71">
                  <c:v>36.49</c:v>
                </c:pt>
                <c:pt idx="72">
                  <c:v>36.090000000000003</c:v>
                </c:pt>
                <c:pt idx="73">
                  <c:v>35.700000000000003</c:v>
                </c:pt>
                <c:pt idx="74">
                  <c:v>35.33</c:v>
                </c:pt>
                <c:pt idx="75">
                  <c:v>34.96</c:v>
                </c:pt>
                <c:pt idx="76">
                  <c:v>34.619999999999997</c:v>
                </c:pt>
                <c:pt idx="77">
                  <c:v>34.29</c:v>
                </c:pt>
                <c:pt idx="78">
                  <c:v>33.979999999999997</c:v>
                </c:pt>
                <c:pt idx="79">
                  <c:v>33.700000000000003</c:v>
                </c:pt>
                <c:pt idx="80">
                  <c:v>33.44</c:v>
                </c:pt>
                <c:pt idx="81">
                  <c:v>33.21</c:v>
                </c:pt>
                <c:pt idx="82">
                  <c:v>33.01</c:v>
                </c:pt>
                <c:pt idx="83">
                  <c:v>32.82</c:v>
                </c:pt>
                <c:pt idx="84">
                  <c:v>32.659999999999997</c:v>
                </c:pt>
                <c:pt idx="85">
                  <c:v>32.520000000000003</c:v>
                </c:pt>
                <c:pt idx="86">
                  <c:v>32.380000000000003</c:v>
                </c:pt>
                <c:pt idx="87">
                  <c:v>32.26</c:v>
                </c:pt>
                <c:pt idx="88">
                  <c:v>32.15</c:v>
                </c:pt>
                <c:pt idx="89">
                  <c:v>32.049999999999997</c:v>
                </c:pt>
                <c:pt idx="90">
                  <c:v>31.96</c:v>
                </c:pt>
                <c:pt idx="91">
                  <c:v>31.88</c:v>
                </c:pt>
                <c:pt idx="92">
                  <c:v>31.81</c:v>
                </c:pt>
                <c:pt idx="93">
                  <c:v>31.75</c:v>
                </c:pt>
                <c:pt idx="94">
                  <c:v>31.7</c:v>
                </c:pt>
                <c:pt idx="95">
                  <c:v>31.66</c:v>
                </c:pt>
                <c:pt idx="96">
                  <c:v>31.63</c:v>
                </c:pt>
                <c:pt idx="97">
                  <c:v>31.6</c:v>
                </c:pt>
                <c:pt idx="98">
                  <c:v>31.59</c:v>
                </c:pt>
                <c:pt idx="99">
                  <c:v>31.58</c:v>
                </c:pt>
                <c:pt idx="100">
                  <c:v>31.57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5-45B8-B7A9-03C329F66906}"/>
            </c:ext>
          </c:extLst>
        </c:ser>
        <c:ser>
          <c:idx val="1"/>
          <c:order val="1"/>
          <c:tx>
            <c:strRef>
              <c:f>'Sensitivity Analysis'!$C$2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Analysis'!$C$3:$C$103</c:f>
              <c:numCache>
                <c:formatCode>General</c:formatCode>
                <c:ptCount val="101"/>
                <c:pt idx="0">
                  <c:v>147.74</c:v>
                </c:pt>
                <c:pt idx="1">
                  <c:v>150.27000000000001</c:v>
                </c:pt>
                <c:pt idx="2">
                  <c:v>152.08000000000001</c:v>
                </c:pt>
                <c:pt idx="3">
                  <c:v>153.63</c:v>
                </c:pt>
                <c:pt idx="4">
                  <c:v>155.58000000000001</c:v>
                </c:pt>
                <c:pt idx="5">
                  <c:v>158.18</c:v>
                </c:pt>
                <c:pt idx="6">
                  <c:v>161.04</c:v>
                </c:pt>
                <c:pt idx="7">
                  <c:v>164.28</c:v>
                </c:pt>
                <c:pt idx="8">
                  <c:v>167.49</c:v>
                </c:pt>
                <c:pt idx="9">
                  <c:v>169.36</c:v>
                </c:pt>
                <c:pt idx="10">
                  <c:v>170.01</c:v>
                </c:pt>
                <c:pt idx="11">
                  <c:v>172.22</c:v>
                </c:pt>
                <c:pt idx="12">
                  <c:v>174.73</c:v>
                </c:pt>
                <c:pt idx="13">
                  <c:v>177.03</c:v>
                </c:pt>
                <c:pt idx="14">
                  <c:v>179.26</c:v>
                </c:pt>
                <c:pt idx="15">
                  <c:v>181.56</c:v>
                </c:pt>
                <c:pt idx="16">
                  <c:v>183.79</c:v>
                </c:pt>
                <c:pt idx="17">
                  <c:v>186.06</c:v>
                </c:pt>
                <c:pt idx="18">
                  <c:v>188.56</c:v>
                </c:pt>
                <c:pt idx="19">
                  <c:v>190.94</c:v>
                </c:pt>
                <c:pt idx="20">
                  <c:v>191.7</c:v>
                </c:pt>
                <c:pt idx="21">
                  <c:v>190.68</c:v>
                </c:pt>
                <c:pt idx="22">
                  <c:v>192.52</c:v>
                </c:pt>
                <c:pt idx="23">
                  <c:v>194.43</c:v>
                </c:pt>
                <c:pt idx="24">
                  <c:v>196.15</c:v>
                </c:pt>
                <c:pt idx="25">
                  <c:v>197.45</c:v>
                </c:pt>
                <c:pt idx="26">
                  <c:v>195.88</c:v>
                </c:pt>
                <c:pt idx="27">
                  <c:v>193.05</c:v>
                </c:pt>
                <c:pt idx="28">
                  <c:v>190.06</c:v>
                </c:pt>
                <c:pt idx="29">
                  <c:v>186.78</c:v>
                </c:pt>
                <c:pt idx="30">
                  <c:v>183.12</c:v>
                </c:pt>
                <c:pt idx="31">
                  <c:v>179</c:v>
                </c:pt>
                <c:pt idx="32">
                  <c:v>174.37</c:v>
                </c:pt>
                <c:pt idx="33">
                  <c:v>169.21</c:v>
                </c:pt>
                <c:pt idx="34">
                  <c:v>163.57</c:v>
                </c:pt>
                <c:pt idx="35">
                  <c:v>157.54</c:v>
                </c:pt>
                <c:pt idx="36">
                  <c:v>152.49</c:v>
                </c:pt>
                <c:pt idx="37">
                  <c:v>148.03</c:v>
                </c:pt>
                <c:pt idx="38">
                  <c:v>143.47</c:v>
                </c:pt>
                <c:pt idx="39">
                  <c:v>138.85</c:v>
                </c:pt>
                <c:pt idx="40">
                  <c:v>134.25</c:v>
                </c:pt>
                <c:pt idx="41">
                  <c:v>129.74</c:v>
                </c:pt>
                <c:pt idx="42">
                  <c:v>125.34</c:v>
                </c:pt>
                <c:pt idx="43">
                  <c:v>121.07</c:v>
                </c:pt>
                <c:pt idx="44">
                  <c:v>116.95</c:v>
                </c:pt>
                <c:pt idx="45">
                  <c:v>112.94</c:v>
                </c:pt>
                <c:pt idx="46">
                  <c:v>109.04</c:v>
                </c:pt>
                <c:pt idx="47">
                  <c:v>105.28</c:v>
                </c:pt>
                <c:pt idx="48">
                  <c:v>101.66</c:v>
                </c:pt>
                <c:pt idx="49">
                  <c:v>98.2</c:v>
                </c:pt>
                <c:pt idx="50">
                  <c:v>94.89</c:v>
                </c:pt>
                <c:pt idx="51">
                  <c:v>91.72</c:v>
                </c:pt>
                <c:pt idx="52">
                  <c:v>88.68</c:v>
                </c:pt>
                <c:pt idx="53">
                  <c:v>85.77</c:v>
                </c:pt>
                <c:pt idx="54">
                  <c:v>82.97</c:v>
                </c:pt>
                <c:pt idx="55">
                  <c:v>80.27</c:v>
                </c:pt>
                <c:pt idx="56">
                  <c:v>77.680000000000007</c:v>
                </c:pt>
                <c:pt idx="57">
                  <c:v>75.19</c:v>
                </c:pt>
                <c:pt idx="58">
                  <c:v>72.8</c:v>
                </c:pt>
                <c:pt idx="59">
                  <c:v>70.489999999999995</c:v>
                </c:pt>
                <c:pt idx="60">
                  <c:v>68.28</c:v>
                </c:pt>
                <c:pt idx="61">
                  <c:v>66.14</c:v>
                </c:pt>
                <c:pt idx="62">
                  <c:v>64.08</c:v>
                </c:pt>
                <c:pt idx="63">
                  <c:v>62.11</c:v>
                </c:pt>
                <c:pt idx="64">
                  <c:v>60.22</c:v>
                </c:pt>
                <c:pt idx="65">
                  <c:v>58.41</c:v>
                </c:pt>
                <c:pt idx="66">
                  <c:v>56.7</c:v>
                </c:pt>
                <c:pt idx="67">
                  <c:v>55.06</c:v>
                </c:pt>
                <c:pt idx="68">
                  <c:v>53.5</c:v>
                </c:pt>
                <c:pt idx="69">
                  <c:v>52.03</c:v>
                </c:pt>
                <c:pt idx="70">
                  <c:v>50.62</c:v>
                </c:pt>
                <c:pt idx="71">
                  <c:v>49.28</c:v>
                </c:pt>
                <c:pt idx="72">
                  <c:v>48.01</c:v>
                </c:pt>
                <c:pt idx="73">
                  <c:v>46.8</c:v>
                </c:pt>
                <c:pt idx="74">
                  <c:v>45.66</c:v>
                </c:pt>
                <c:pt idx="75">
                  <c:v>44.56</c:v>
                </c:pt>
                <c:pt idx="76">
                  <c:v>43.53</c:v>
                </c:pt>
                <c:pt idx="77">
                  <c:v>42.54</c:v>
                </c:pt>
                <c:pt idx="78">
                  <c:v>41.59</c:v>
                </c:pt>
                <c:pt idx="79">
                  <c:v>40.69</c:v>
                </c:pt>
                <c:pt idx="80">
                  <c:v>39.840000000000003</c:v>
                </c:pt>
                <c:pt idx="81">
                  <c:v>39.020000000000003</c:v>
                </c:pt>
                <c:pt idx="82">
                  <c:v>38.229999999999997</c:v>
                </c:pt>
                <c:pt idx="83">
                  <c:v>37.49</c:v>
                </c:pt>
                <c:pt idx="84">
                  <c:v>36.770000000000003</c:v>
                </c:pt>
                <c:pt idx="85">
                  <c:v>36.08</c:v>
                </c:pt>
                <c:pt idx="86">
                  <c:v>35.409999999999997</c:v>
                </c:pt>
                <c:pt idx="87">
                  <c:v>34.770000000000003</c:v>
                </c:pt>
                <c:pt idx="88">
                  <c:v>34.17</c:v>
                </c:pt>
                <c:pt idx="89">
                  <c:v>33.58</c:v>
                </c:pt>
                <c:pt idx="90">
                  <c:v>33.03</c:v>
                </c:pt>
                <c:pt idx="91">
                  <c:v>32.5</c:v>
                </c:pt>
                <c:pt idx="92">
                  <c:v>32</c:v>
                </c:pt>
                <c:pt idx="93">
                  <c:v>31.53</c:v>
                </c:pt>
                <c:pt idx="94">
                  <c:v>31.07</c:v>
                </c:pt>
                <c:pt idx="95">
                  <c:v>30.65</c:v>
                </c:pt>
                <c:pt idx="96">
                  <c:v>30.24</c:v>
                </c:pt>
                <c:pt idx="97">
                  <c:v>29.86</c:v>
                </c:pt>
                <c:pt idx="98">
                  <c:v>29.49</c:v>
                </c:pt>
                <c:pt idx="99">
                  <c:v>29.15</c:v>
                </c:pt>
                <c:pt idx="100">
                  <c:v>28.83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85-45B8-B7A9-03C329F66906}"/>
            </c:ext>
          </c:extLst>
        </c:ser>
        <c:ser>
          <c:idx val="2"/>
          <c:order val="2"/>
          <c:tx>
            <c:strRef>
              <c:f>'Sensitivity Analysis'!$D$2</c:f>
              <c:strCache>
                <c:ptCount val="1"/>
                <c:pt idx="0">
                  <c:v>Gas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Analysis'!$D$3:$D$103</c:f>
              <c:numCache>
                <c:formatCode>General</c:formatCode>
                <c:ptCount val="101"/>
                <c:pt idx="0">
                  <c:v>89.16</c:v>
                </c:pt>
                <c:pt idx="1">
                  <c:v>91.78</c:v>
                </c:pt>
                <c:pt idx="2">
                  <c:v>94.05</c:v>
                </c:pt>
                <c:pt idx="3">
                  <c:v>96.24</c:v>
                </c:pt>
                <c:pt idx="4">
                  <c:v>98.79</c:v>
                </c:pt>
                <c:pt idx="5">
                  <c:v>101.88</c:v>
                </c:pt>
                <c:pt idx="6">
                  <c:v>105.26</c:v>
                </c:pt>
                <c:pt idx="7">
                  <c:v>109.05</c:v>
                </c:pt>
                <c:pt idx="8">
                  <c:v>112.86</c:v>
                </c:pt>
                <c:pt idx="9">
                  <c:v>115.5</c:v>
                </c:pt>
                <c:pt idx="10">
                  <c:v>117.01</c:v>
                </c:pt>
                <c:pt idx="11">
                  <c:v>119.74</c:v>
                </c:pt>
                <c:pt idx="12">
                  <c:v>122.63</c:v>
                </c:pt>
                <c:pt idx="13">
                  <c:v>125.38</c:v>
                </c:pt>
                <c:pt idx="14">
                  <c:v>128.15</c:v>
                </c:pt>
                <c:pt idx="15">
                  <c:v>131.01</c:v>
                </c:pt>
                <c:pt idx="16">
                  <c:v>133.72999999999999</c:v>
                </c:pt>
                <c:pt idx="17">
                  <c:v>136.4</c:v>
                </c:pt>
                <c:pt idx="18">
                  <c:v>139.16999999999999</c:v>
                </c:pt>
                <c:pt idx="19">
                  <c:v>141.69</c:v>
                </c:pt>
                <c:pt idx="20">
                  <c:v>142.53</c:v>
                </c:pt>
                <c:pt idx="21">
                  <c:v>141.78</c:v>
                </c:pt>
                <c:pt idx="22">
                  <c:v>143.6</c:v>
                </c:pt>
                <c:pt idx="23">
                  <c:v>145.5</c:v>
                </c:pt>
                <c:pt idx="24">
                  <c:v>147.34</c:v>
                </c:pt>
                <c:pt idx="25">
                  <c:v>148.82</c:v>
                </c:pt>
                <c:pt idx="26">
                  <c:v>147.88999999999999</c:v>
                </c:pt>
                <c:pt idx="27">
                  <c:v>146.12</c:v>
                </c:pt>
                <c:pt idx="28">
                  <c:v>143.88</c:v>
                </c:pt>
                <c:pt idx="29">
                  <c:v>140.9</c:v>
                </c:pt>
                <c:pt idx="30">
                  <c:v>137.07</c:v>
                </c:pt>
                <c:pt idx="31">
                  <c:v>132.4</c:v>
                </c:pt>
                <c:pt idx="32">
                  <c:v>126.94</c:v>
                </c:pt>
                <c:pt idx="33">
                  <c:v>120.76</c:v>
                </c:pt>
                <c:pt idx="34">
                  <c:v>114.02</c:v>
                </c:pt>
                <c:pt idx="35">
                  <c:v>106.91</c:v>
                </c:pt>
                <c:pt idx="36">
                  <c:v>100.61</c:v>
                </c:pt>
                <c:pt idx="37">
                  <c:v>95.02</c:v>
                </c:pt>
                <c:pt idx="38">
                  <c:v>90</c:v>
                </c:pt>
                <c:pt idx="39">
                  <c:v>85.78</c:v>
                </c:pt>
                <c:pt idx="40">
                  <c:v>82.72</c:v>
                </c:pt>
                <c:pt idx="41">
                  <c:v>80.77</c:v>
                </c:pt>
                <c:pt idx="42">
                  <c:v>79.87</c:v>
                </c:pt>
                <c:pt idx="43">
                  <c:v>79.83</c:v>
                </c:pt>
                <c:pt idx="44">
                  <c:v>80.11</c:v>
                </c:pt>
                <c:pt idx="45">
                  <c:v>80.150000000000006</c:v>
                </c:pt>
                <c:pt idx="46">
                  <c:v>79.77</c:v>
                </c:pt>
                <c:pt idx="47">
                  <c:v>79.16</c:v>
                </c:pt>
                <c:pt idx="48">
                  <c:v>78.61</c:v>
                </c:pt>
                <c:pt idx="49">
                  <c:v>78.28</c:v>
                </c:pt>
                <c:pt idx="50">
                  <c:v>78.13</c:v>
                </c:pt>
                <c:pt idx="51">
                  <c:v>77.97</c:v>
                </c:pt>
                <c:pt idx="52">
                  <c:v>77.58</c:v>
                </c:pt>
                <c:pt idx="53">
                  <c:v>76.84</c:v>
                </c:pt>
                <c:pt idx="54">
                  <c:v>75.819999999999993</c:v>
                </c:pt>
                <c:pt idx="55">
                  <c:v>74.62</c:v>
                </c:pt>
                <c:pt idx="56">
                  <c:v>73.39</c:v>
                </c:pt>
                <c:pt idx="57">
                  <c:v>72.22</c:v>
                </c:pt>
                <c:pt idx="58">
                  <c:v>71.17</c:v>
                </c:pt>
                <c:pt idx="59">
                  <c:v>70.25</c:v>
                </c:pt>
                <c:pt idx="60">
                  <c:v>69.45</c:v>
                </c:pt>
                <c:pt idx="61">
                  <c:v>68.72</c:v>
                </c:pt>
                <c:pt idx="62">
                  <c:v>68.03</c:v>
                </c:pt>
                <c:pt idx="63">
                  <c:v>67.37</c:v>
                </c:pt>
                <c:pt idx="64">
                  <c:v>66.739999999999995</c:v>
                </c:pt>
                <c:pt idx="65">
                  <c:v>66.11</c:v>
                </c:pt>
                <c:pt idx="66">
                  <c:v>65.52</c:v>
                </c:pt>
                <c:pt idx="67">
                  <c:v>64.95</c:v>
                </c:pt>
                <c:pt idx="68">
                  <c:v>64.41</c:v>
                </c:pt>
                <c:pt idx="69">
                  <c:v>63.91</c:v>
                </c:pt>
                <c:pt idx="70">
                  <c:v>63.43</c:v>
                </c:pt>
                <c:pt idx="71">
                  <c:v>63</c:v>
                </c:pt>
                <c:pt idx="72">
                  <c:v>62.59</c:v>
                </c:pt>
                <c:pt idx="73">
                  <c:v>62.23</c:v>
                </c:pt>
                <c:pt idx="74">
                  <c:v>61.89</c:v>
                </c:pt>
                <c:pt idx="75">
                  <c:v>61.59</c:v>
                </c:pt>
                <c:pt idx="76">
                  <c:v>61.31</c:v>
                </c:pt>
                <c:pt idx="77">
                  <c:v>61.06</c:v>
                </c:pt>
                <c:pt idx="78">
                  <c:v>60.83</c:v>
                </c:pt>
                <c:pt idx="79">
                  <c:v>60.62</c:v>
                </c:pt>
                <c:pt idx="80">
                  <c:v>60.43</c:v>
                </c:pt>
                <c:pt idx="81">
                  <c:v>60.25</c:v>
                </c:pt>
                <c:pt idx="82">
                  <c:v>60.09</c:v>
                </c:pt>
                <c:pt idx="83">
                  <c:v>59.95</c:v>
                </c:pt>
                <c:pt idx="84">
                  <c:v>59.83</c:v>
                </c:pt>
                <c:pt idx="85">
                  <c:v>59.72</c:v>
                </c:pt>
                <c:pt idx="86">
                  <c:v>59.62</c:v>
                </c:pt>
                <c:pt idx="87">
                  <c:v>59.54</c:v>
                </c:pt>
                <c:pt idx="88">
                  <c:v>59.47</c:v>
                </c:pt>
                <c:pt idx="89">
                  <c:v>59.41</c:v>
                </c:pt>
                <c:pt idx="90">
                  <c:v>59.36</c:v>
                </c:pt>
                <c:pt idx="91">
                  <c:v>59.33</c:v>
                </c:pt>
                <c:pt idx="92">
                  <c:v>59.31</c:v>
                </c:pt>
                <c:pt idx="93">
                  <c:v>59.3</c:v>
                </c:pt>
                <c:pt idx="94">
                  <c:v>59.31</c:v>
                </c:pt>
                <c:pt idx="95">
                  <c:v>59.32</c:v>
                </c:pt>
                <c:pt idx="96">
                  <c:v>59.35</c:v>
                </c:pt>
                <c:pt idx="97">
                  <c:v>59.38</c:v>
                </c:pt>
                <c:pt idx="98">
                  <c:v>59.42</c:v>
                </c:pt>
                <c:pt idx="99">
                  <c:v>59.46</c:v>
                </c:pt>
                <c:pt idx="100">
                  <c:v>59.51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85-45B8-B7A9-03C329F66906}"/>
            </c:ext>
          </c:extLst>
        </c:ser>
        <c:ser>
          <c:idx val="3"/>
          <c:order val="3"/>
          <c:tx>
            <c:strRef>
              <c:f>'Sensitivity Analysis'!$E$2</c:f>
              <c:strCache>
                <c:ptCount val="1"/>
                <c:pt idx="0">
                  <c:v>Renewables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Analysis'!$E$3:$E$103</c:f>
              <c:numCache>
                <c:formatCode>General</c:formatCode>
                <c:ptCount val="101"/>
                <c:pt idx="0">
                  <c:v>10.59</c:v>
                </c:pt>
                <c:pt idx="1">
                  <c:v>11.12</c:v>
                </c:pt>
                <c:pt idx="2">
                  <c:v>11.71</c:v>
                </c:pt>
                <c:pt idx="3">
                  <c:v>12.33</c:v>
                </c:pt>
                <c:pt idx="4">
                  <c:v>12.97</c:v>
                </c:pt>
                <c:pt idx="5">
                  <c:v>13.62</c:v>
                </c:pt>
                <c:pt idx="6">
                  <c:v>14.27</c:v>
                </c:pt>
                <c:pt idx="7">
                  <c:v>14.97</c:v>
                </c:pt>
                <c:pt idx="8">
                  <c:v>15.7</c:v>
                </c:pt>
                <c:pt idx="9">
                  <c:v>16.43</c:v>
                </c:pt>
                <c:pt idx="10">
                  <c:v>17.079999999999998</c:v>
                </c:pt>
                <c:pt idx="11">
                  <c:v>17.760000000000002</c:v>
                </c:pt>
                <c:pt idx="12">
                  <c:v>18.43</c:v>
                </c:pt>
                <c:pt idx="13">
                  <c:v>19.100000000000001</c:v>
                </c:pt>
                <c:pt idx="14">
                  <c:v>19.809999999999999</c:v>
                </c:pt>
                <c:pt idx="15">
                  <c:v>20.62</c:v>
                </c:pt>
                <c:pt idx="16">
                  <c:v>21.55</c:v>
                </c:pt>
                <c:pt idx="17">
                  <c:v>22.66</c:v>
                </c:pt>
                <c:pt idx="18">
                  <c:v>23.96</c:v>
                </c:pt>
                <c:pt idx="19">
                  <c:v>25.49</c:v>
                </c:pt>
                <c:pt idx="20">
                  <c:v>27.17</c:v>
                </c:pt>
                <c:pt idx="21">
                  <c:v>28.89</c:v>
                </c:pt>
                <c:pt idx="22">
                  <c:v>30.77</c:v>
                </c:pt>
                <c:pt idx="23">
                  <c:v>32.67</c:v>
                </c:pt>
                <c:pt idx="24">
                  <c:v>34.659999999999997</c:v>
                </c:pt>
                <c:pt idx="25">
                  <c:v>36.79</c:v>
                </c:pt>
                <c:pt idx="26">
                  <c:v>39.17</c:v>
                </c:pt>
                <c:pt idx="27">
                  <c:v>42.06</c:v>
                </c:pt>
                <c:pt idx="28">
                  <c:v>45.59</c:v>
                </c:pt>
                <c:pt idx="29">
                  <c:v>49.88</c:v>
                </c:pt>
                <c:pt idx="30">
                  <c:v>55.13</c:v>
                </c:pt>
                <c:pt idx="31">
                  <c:v>61.46</c:v>
                </c:pt>
                <c:pt idx="32">
                  <c:v>68.98</c:v>
                </c:pt>
                <c:pt idx="33">
                  <c:v>77.790000000000006</c:v>
                </c:pt>
                <c:pt idx="34">
                  <c:v>87.93</c:v>
                </c:pt>
                <c:pt idx="35">
                  <c:v>99.38</c:v>
                </c:pt>
                <c:pt idx="36">
                  <c:v>111.91</c:v>
                </c:pt>
                <c:pt idx="37">
                  <c:v>124.61</c:v>
                </c:pt>
                <c:pt idx="38">
                  <c:v>137.05000000000001</c:v>
                </c:pt>
                <c:pt idx="39">
                  <c:v>148.63999999999999</c:v>
                </c:pt>
                <c:pt idx="40">
                  <c:v>158.54</c:v>
                </c:pt>
                <c:pt idx="41">
                  <c:v>166.8</c:v>
                </c:pt>
                <c:pt idx="42">
                  <c:v>173.6</c:v>
                </c:pt>
                <c:pt idx="43">
                  <c:v>179.93</c:v>
                </c:pt>
                <c:pt idx="44">
                  <c:v>186.85</c:v>
                </c:pt>
                <c:pt idx="45">
                  <c:v>194.55</c:v>
                </c:pt>
                <c:pt idx="46">
                  <c:v>202.42</c:v>
                </c:pt>
                <c:pt idx="47">
                  <c:v>209.73</c:v>
                </c:pt>
                <c:pt idx="48">
                  <c:v>216.11</c:v>
                </c:pt>
                <c:pt idx="49">
                  <c:v>221.63</c:v>
                </c:pt>
                <c:pt idx="50">
                  <c:v>226.53</c:v>
                </c:pt>
                <c:pt idx="51">
                  <c:v>231.08</c:v>
                </c:pt>
                <c:pt idx="52">
                  <c:v>235.4</c:v>
                </c:pt>
                <c:pt idx="53">
                  <c:v>239.52</c:v>
                </c:pt>
                <c:pt idx="54">
                  <c:v>243.4</c:v>
                </c:pt>
                <c:pt idx="55">
                  <c:v>247.01</c:v>
                </c:pt>
                <c:pt idx="56">
                  <c:v>250.36</c:v>
                </c:pt>
                <c:pt idx="57">
                  <c:v>253.44</c:v>
                </c:pt>
                <c:pt idx="58">
                  <c:v>256.31</c:v>
                </c:pt>
                <c:pt idx="59">
                  <c:v>259.01</c:v>
                </c:pt>
                <c:pt idx="60">
                  <c:v>261.57</c:v>
                </c:pt>
                <c:pt idx="61">
                  <c:v>264</c:v>
                </c:pt>
                <c:pt idx="62">
                  <c:v>266.31</c:v>
                </c:pt>
                <c:pt idx="63">
                  <c:v>268.49</c:v>
                </c:pt>
                <c:pt idx="64">
                  <c:v>270.55</c:v>
                </c:pt>
                <c:pt idx="65">
                  <c:v>272.51</c:v>
                </c:pt>
                <c:pt idx="66">
                  <c:v>274.39999999999998</c:v>
                </c:pt>
                <c:pt idx="67">
                  <c:v>276.23</c:v>
                </c:pt>
                <c:pt idx="68">
                  <c:v>277.99</c:v>
                </c:pt>
                <c:pt idx="69">
                  <c:v>279.70999999999998</c:v>
                </c:pt>
                <c:pt idx="70">
                  <c:v>281.37</c:v>
                </c:pt>
                <c:pt idx="71">
                  <c:v>282.97000000000003</c:v>
                </c:pt>
                <c:pt idx="72">
                  <c:v>284.52</c:v>
                </c:pt>
                <c:pt idx="73">
                  <c:v>286.02</c:v>
                </c:pt>
                <c:pt idx="74">
                  <c:v>287.45999999999998</c:v>
                </c:pt>
                <c:pt idx="75">
                  <c:v>288.85000000000002</c:v>
                </c:pt>
                <c:pt idx="76">
                  <c:v>290.19</c:v>
                </c:pt>
                <c:pt idx="77">
                  <c:v>291.45999999999998</c:v>
                </c:pt>
                <c:pt idx="78">
                  <c:v>292.68</c:v>
                </c:pt>
                <c:pt idx="79">
                  <c:v>293.85000000000002</c:v>
                </c:pt>
                <c:pt idx="80">
                  <c:v>294.95999999999998</c:v>
                </c:pt>
                <c:pt idx="81">
                  <c:v>296.02999999999997</c:v>
                </c:pt>
                <c:pt idx="82">
                  <c:v>297.06</c:v>
                </c:pt>
                <c:pt idx="83">
                  <c:v>298.08</c:v>
                </c:pt>
                <c:pt idx="84">
                  <c:v>299.07</c:v>
                </c:pt>
                <c:pt idx="85">
                  <c:v>300.06</c:v>
                </c:pt>
                <c:pt idx="86">
                  <c:v>301.04000000000002</c:v>
                </c:pt>
                <c:pt idx="87">
                  <c:v>302.01</c:v>
                </c:pt>
                <c:pt idx="88">
                  <c:v>302.98</c:v>
                </c:pt>
                <c:pt idx="89">
                  <c:v>303.95999999999998</c:v>
                </c:pt>
                <c:pt idx="90">
                  <c:v>304.94</c:v>
                </c:pt>
                <c:pt idx="91">
                  <c:v>305.93</c:v>
                </c:pt>
                <c:pt idx="92">
                  <c:v>306.94</c:v>
                </c:pt>
                <c:pt idx="93">
                  <c:v>307.97000000000003</c:v>
                </c:pt>
                <c:pt idx="94">
                  <c:v>309.02999999999997</c:v>
                </c:pt>
                <c:pt idx="95">
                  <c:v>310.11</c:v>
                </c:pt>
                <c:pt idx="96">
                  <c:v>311.20999999999998</c:v>
                </c:pt>
                <c:pt idx="97">
                  <c:v>312.33999999999997</c:v>
                </c:pt>
                <c:pt idx="98">
                  <c:v>313.5</c:v>
                </c:pt>
                <c:pt idx="99">
                  <c:v>314.69</c:v>
                </c:pt>
                <c:pt idx="100">
                  <c:v>315.89999999999998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85-45B8-B7A9-03C329F66906}"/>
            </c:ext>
          </c:extLst>
        </c:ser>
        <c:ser>
          <c:idx val="4"/>
          <c:order val="4"/>
          <c:tx>
            <c:strRef>
              <c:f>'Sensitivity Analysis'!$F$2</c:f>
              <c:strCache>
                <c:ptCount val="1"/>
                <c:pt idx="0">
                  <c:v>Bioenergy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Analysis'!$F$3:$F$103</c:f>
              <c:numCache>
                <c:formatCode>General</c:formatCode>
                <c:ptCount val="101"/>
                <c:pt idx="0">
                  <c:v>40.43</c:v>
                </c:pt>
                <c:pt idx="1">
                  <c:v>41.24</c:v>
                </c:pt>
                <c:pt idx="2">
                  <c:v>41.82</c:v>
                </c:pt>
                <c:pt idx="3">
                  <c:v>42.33</c:v>
                </c:pt>
                <c:pt idx="4">
                  <c:v>42.99</c:v>
                </c:pt>
                <c:pt idx="5">
                  <c:v>43.86</c:v>
                </c:pt>
                <c:pt idx="6">
                  <c:v>44.82</c:v>
                </c:pt>
                <c:pt idx="7">
                  <c:v>45.92</c:v>
                </c:pt>
                <c:pt idx="8">
                  <c:v>47</c:v>
                </c:pt>
                <c:pt idx="9">
                  <c:v>47.61</c:v>
                </c:pt>
                <c:pt idx="10">
                  <c:v>47.85</c:v>
                </c:pt>
                <c:pt idx="11">
                  <c:v>48.56</c:v>
                </c:pt>
                <c:pt idx="12">
                  <c:v>49.34</c:v>
                </c:pt>
                <c:pt idx="13">
                  <c:v>50.06</c:v>
                </c:pt>
                <c:pt idx="14">
                  <c:v>50.77</c:v>
                </c:pt>
                <c:pt idx="15">
                  <c:v>51.51</c:v>
                </c:pt>
                <c:pt idx="16">
                  <c:v>52.24</c:v>
                </c:pt>
                <c:pt idx="17">
                  <c:v>53</c:v>
                </c:pt>
                <c:pt idx="18">
                  <c:v>53.83</c:v>
                </c:pt>
                <c:pt idx="19">
                  <c:v>54.62</c:v>
                </c:pt>
                <c:pt idx="20">
                  <c:v>54.86</c:v>
                </c:pt>
                <c:pt idx="21">
                  <c:v>54.59</c:v>
                </c:pt>
                <c:pt idx="22">
                  <c:v>55.21</c:v>
                </c:pt>
                <c:pt idx="23">
                  <c:v>55.83</c:v>
                </c:pt>
                <c:pt idx="24">
                  <c:v>56.4</c:v>
                </c:pt>
                <c:pt idx="25">
                  <c:v>56.84</c:v>
                </c:pt>
                <c:pt idx="26">
                  <c:v>57.33</c:v>
                </c:pt>
                <c:pt idx="27">
                  <c:v>58.06</c:v>
                </c:pt>
                <c:pt idx="28">
                  <c:v>58.88</c:v>
                </c:pt>
                <c:pt idx="29">
                  <c:v>59.74</c:v>
                </c:pt>
                <c:pt idx="30">
                  <c:v>60.56</c:v>
                </c:pt>
                <c:pt idx="31">
                  <c:v>61.29</c:v>
                </c:pt>
                <c:pt idx="32">
                  <c:v>61.86</c:v>
                </c:pt>
                <c:pt idx="33">
                  <c:v>62.2</c:v>
                </c:pt>
                <c:pt idx="34">
                  <c:v>62.31</c:v>
                </c:pt>
                <c:pt idx="35">
                  <c:v>62.19</c:v>
                </c:pt>
                <c:pt idx="36">
                  <c:v>61.86</c:v>
                </c:pt>
                <c:pt idx="37">
                  <c:v>61.39</c:v>
                </c:pt>
                <c:pt idx="38">
                  <c:v>60.9</c:v>
                </c:pt>
                <c:pt idx="39">
                  <c:v>60.47</c:v>
                </c:pt>
                <c:pt idx="40">
                  <c:v>60.2</c:v>
                </c:pt>
                <c:pt idx="41">
                  <c:v>60.1</c:v>
                </c:pt>
                <c:pt idx="42">
                  <c:v>60.16</c:v>
                </c:pt>
                <c:pt idx="43">
                  <c:v>60.37</c:v>
                </c:pt>
                <c:pt idx="44">
                  <c:v>60.63</c:v>
                </c:pt>
                <c:pt idx="45">
                  <c:v>60.81</c:v>
                </c:pt>
                <c:pt idx="46">
                  <c:v>60.83</c:v>
                </c:pt>
                <c:pt idx="47">
                  <c:v>60.74</c:v>
                </c:pt>
                <c:pt idx="48">
                  <c:v>60.57</c:v>
                </c:pt>
                <c:pt idx="49">
                  <c:v>60.38</c:v>
                </c:pt>
                <c:pt idx="50">
                  <c:v>60.16</c:v>
                </c:pt>
                <c:pt idx="51">
                  <c:v>59.92</c:v>
                </c:pt>
                <c:pt idx="52">
                  <c:v>59.63</c:v>
                </c:pt>
                <c:pt idx="53">
                  <c:v>59.27</c:v>
                </c:pt>
                <c:pt idx="54">
                  <c:v>58.87</c:v>
                </c:pt>
                <c:pt idx="55">
                  <c:v>58.42</c:v>
                </c:pt>
                <c:pt idx="56">
                  <c:v>57.96</c:v>
                </c:pt>
                <c:pt idx="57">
                  <c:v>57.49</c:v>
                </c:pt>
                <c:pt idx="58">
                  <c:v>57.02</c:v>
                </c:pt>
                <c:pt idx="59">
                  <c:v>56.57</c:v>
                </c:pt>
                <c:pt idx="60">
                  <c:v>56.12</c:v>
                </c:pt>
                <c:pt idx="61">
                  <c:v>55.68</c:v>
                </c:pt>
                <c:pt idx="62">
                  <c:v>55.24</c:v>
                </c:pt>
                <c:pt idx="63">
                  <c:v>54.8</c:v>
                </c:pt>
                <c:pt idx="64">
                  <c:v>54.36</c:v>
                </c:pt>
                <c:pt idx="65">
                  <c:v>53.92</c:v>
                </c:pt>
                <c:pt idx="66">
                  <c:v>53.49</c:v>
                </c:pt>
                <c:pt idx="67">
                  <c:v>53.05</c:v>
                </c:pt>
                <c:pt idx="68">
                  <c:v>52.63</c:v>
                </c:pt>
                <c:pt idx="69">
                  <c:v>52.2</c:v>
                </c:pt>
                <c:pt idx="70">
                  <c:v>51.79</c:v>
                </c:pt>
                <c:pt idx="71">
                  <c:v>51.38</c:v>
                </c:pt>
                <c:pt idx="72">
                  <c:v>50.98</c:v>
                </c:pt>
                <c:pt idx="73">
                  <c:v>50.6</c:v>
                </c:pt>
                <c:pt idx="74">
                  <c:v>50.22</c:v>
                </c:pt>
                <c:pt idx="75">
                  <c:v>49.86</c:v>
                </c:pt>
                <c:pt idx="76">
                  <c:v>49.51</c:v>
                </c:pt>
                <c:pt idx="77">
                  <c:v>49.17</c:v>
                </c:pt>
                <c:pt idx="78">
                  <c:v>48.84</c:v>
                </c:pt>
                <c:pt idx="79">
                  <c:v>48.53</c:v>
                </c:pt>
                <c:pt idx="80">
                  <c:v>48.22</c:v>
                </c:pt>
                <c:pt idx="81">
                  <c:v>47.93</c:v>
                </c:pt>
                <c:pt idx="82">
                  <c:v>47.66</c:v>
                </c:pt>
                <c:pt idx="83">
                  <c:v>47.4</c:v>
                </c:pt>
                <c:pt idx="84">
                  <c:v>47.15</c:v>
                </c:pt>
                <c:pt idx="85">
                  <c:v>46.91</c:v>
                </c:pt>
                <c:pt idx="86">
                  <c:v>46.69</c:v>
                </c:pt>
                <c:pt idx="87">
                  <c:v>46.49</c:v>
                </c:pt>
                <c:pt idx="88">
                  <c:v>46.29</c:v>
                </c:pt>
                <c:pt idx="89">
                  <c:v>46.11</c:v>
                </c:pt>
                <c:pt idx="90">
                  <c:v>45.94</c:v>
                </c:pt>
                <c:pt idx="91">
                  <c:v>45.79</c:v>
                </c:pt>
                <c:pt idx="92">
                  <c:v>45.64</c:v>
                </c:pt>
                <c:pt idx="93">
                  <c:v>45.52</c:v>
                </c:pt>
                <c:pt idx="94">
                  <c:v>45.4</c:v>
                </c:pt>
                <c:pt idx="95">
                  <c:v>45.3</c:v>
                </c:pt>
                <c:pt idx="96">
                  <c:v>45.21</c:v>
                </c:pt>
                <c:pt idx="97">
                  <c:v>45.13</c:v>
                </c:pt>
                <c:pt idx="98">
                  <c:v>45.06</c:v>
                </c:pt>
                <c:pt idx="99">
                  <c:v>45.01</c:v>
                </c:pt>
                <c:pt idx="100">
                  <c:v>44.96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85-45B8-B7A9-03C329F66906}"/>
            </c:ext>
          </c:extLst>
        </c:ser>
        <c:ser>
          <c:idx val="5"/>
          <c:order val="5"/>
          <c:tx>
            <c:strRef>
              <c:f>'Sensitivity Analysis'!$G$2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'Sensitivity Analysis'!$G$3:$G$103</c:f>
              <c:numCache>
                <c:formatCode>General</c:formatCode>
                <c:ptCount val="101"/>
                <c:pt idx="0">
                  <c:v>6.87</c:v>
                </c:pt>
                <c:pt idx="1">
                  <c:v>6.93</c:v>
                </c:pt>
                <c:pt idx="2">
                  <c:v>7.07</c:v>
                </c:pt>
                <c:pt idx="3">
                  <c:v>7.26</c:v>
                </c:pt>
                <c:pt idx="4">
                  <c:v>7.51</c:v>
                </c:pt>
                <c:pt idx="5">
                  <c:v>7.8</c:v>
                </c:pt>
                <c:pt idx="6">
                  <c:v>8.11</c:v>
                </c:pt>
                <c:pt idx="7">
                  <c:v>8.4499999999999993</c:v>
                </c:pt>
                <c:pt idx="8">
                  <c:v>8.8000000000000007</c:v>
                </c:pt>
                <c:pt idx="9">
                  <c:v>9.16</c:v>
                </c:pt>
                <c:pt idx="10">
                  <c:v>9.51</c:v>
                </c:pt>
                <c:pt idx="11">
                  <c:v>9.84</c:v>
                </c:pt>
                <c:pt idx="12">
                  <c:v>10.119999999999999</c:v>
                </c:pt>
                <c:pt idx="13">
                  <c:v>10.36</c:v>
                </c:pt>
                <c:pt idx="14">
                  <c:v>10.54</c:v>
                </c:pt>
                <c:pt idx="15">
                  <c:v>10.68</c:v>
                </c:pt>
                <c:pt idx="16">
                  <c:v>10.77</c:v>
                </c:pt>
                <c:pt idx="17">
                  <c:v>10.83</c:v>
                </c:pt>
                <c:pt idx="18">
                  <c:v>10.85</c:v>
                </c:pt>
                <c:pt idx="19">
                  <c:v>10.87</c:v>
                </c:pt>
                <c:pt idx="20">
                  <c:v>10.87</c:v>
                </c:pt>
                <c:pt idx="21">
                  <c:v>10.85</c:v>
                </c:pt>
                <c:pt idx="22">
                  <c:v>10.83</c:v>
                </c:pt>
                <c:pt idx="23">
                  <c:v>10.8</c:v>
                </c:pt>
                <c:pt idx="24">
                  <c:v>10.75</c:v>
                </c:pt>
                <c:pt idx="25">
                  <c:v>10.71</c:v>
                </c:pt>
                <c:pt idx="26">
                  <c:v>10.67</c:v>
                </c:pt>
                <c:pt idx="27">
                  <c:v>10.64</c:v>
                </c:pt>
                <c:pt idx="28">
                  <c:v>10.65</c:v>
                </c:pt>
                <c:pt idx="29">
                  <c:v>10.72</c:v>
                </c:pt>
                <c:pt idx="30">
                  <c:v>10.87</c:v>
                </c:pt>
                <c:pt idx="31">
                  <c:v>11.09</c:v>
                </c:pt>
                <c:pt idx="32">
                  <c:v>11.37</c:v>
                </c:pt>
                <c:pt idx="33">
                  <c:v>11.68</c:v>
                </c:pt>
                <c:pt idx="34">
                  <c:v>11.98</c:v>
                </c:pt>
                <c:pt idx="35">
                  <c:v>12.24</c:v>
                </c:pt>
                <c:pt idx="36">
                  <c:v>12.39</c:v>
                </c:pt>
                <c:pt idx="37">
                  <c:v>12.27</c:v>
                </c:pt>
                <c:pt idx="38">
                  <c:v>11.69</c:v>
                </c:pt>
                <c:pt idx="39">
                  <c:v>10.7</c:v>
                </c:pt>
                <c:pt idx="40">
                  <c:v>10.01</c:v>
                </c:pt>
                <c:pt idx="41">
                  <c:v>9.98</c:v>
                </c:pt>
                <c:pt idx="42">
                  <c:v>10.45</c:v>
                </c:pt>
                <c:pt idx="43">
                  <c:v>11.04</c:v>
                </c:pt>
                <c:pt idx="44">
                  <c:v>11.43</c:v>
                </c:pt>
                <c:pt idx="45">
                  <c:v>11.58</c:v>
                </c:pt>
                <c:pt idx="46">
                  <c:v>11.6</c:v>
                </c:pt>
                <c:pt idx="47">
                  <c:v>11.59</c:v>
                </c:pt>
                <c:pt idx="48">
                  <c:v>11.63</c:v>
                </c:pt>
                <c:pt idx="49">
                  <c:v>11.76</c:v>
                </c:pt>
                <c:pt idx="50">
                  <c:v>11.97</c:v>
                </c:pt>
                <c:pt idx="51">
                  <c:v>12.24</c:v>
                </c:pt>
                <c:pt idx="52">
                  <c:v>12.53</c:v>
                </c:pt>
                <c:pt idx="53">
                  <c:v>12.84</c:v>
                </c:pt>
                <c:pt idx="54">
                  <c:v>13.14</c:v>
                </c:pt>
                <c:pt idx="55">
                  <c:v>13.41</c:v>
                </c:pt>
                <c:pt idx="56">
                  <c:v>13.64</c:v>
                </c:pt>
                <c:pt idx="57">
                  <c:v>13.85</c:v>
                </c:pt>
                <c:pt idx="58">
                  <c:v>14.02</c:v>
                </c:pt>
                <c:pt idx="59">
                  <c:v>14.17</c:v>
                </c:pt>
                <c:pt idx="60">
                  <c:v>14.28</c:v>
                </c:pt>
                <c:pt idx="61">
                  <c:v>14.37</c:v>
                </c:pt>
                <c:pt idx="62">
                  <c:v>14.41</c:v>
                </c:pt>
                <c:pt idx="63">
                  <c:v>14.42</c:v>
                </c:pt>
                <c:pt idx="64">
                  <c:v>14.39</c:v>
                </c:pt>
                <c:pt idx="65">
                  <c:v>14.33</c:v>
                </c:pt>
                <c:pt idx="66">
                  <c:v>14.25</c:v>
                </c:pt>
                <c:pt idx="67">
                  <c:v>14.14</c:v>
                </c:pt>
                <c:pt idx="68">
                  <c:v>14.02</c:v>
                </c:pt>
                <c:pt idx="69">
                  <c:v>13.9</c:v>
                </c:pt>
                <c:pt idx="70">
                  <c:v>13.76</c:v>
                </c:pt>
                <c:pt idx="71">
                  <c:v>13.63</c:v>
                </c:pt>
                <c:pt idx="72">
                  <c:v>13.49</c:v>
                </c:pt>
                <c:pt idx="73">
                  <c:v>13.36</c:v>
                </c:pt>
                <c:pt idx="74">
                  <c:v>13.24</c:v>
                </c:pt>
                <c:pt idx="75">
                  <c:v>13.12</c:v>
                </c:pt>
                <c:pt idx="76">
                  <c:v>13.01</c:v>
                </c:pt>
                <c:pt idx="77">
                  <c:v>12.91</c:v>
                </c:pt>
                <c:pt idx="78">
                  <c:v>12.82</c:v>
                </c:pt>
                <c:pt idx="79">
                  <c:v>12.74</c:v>
                </c:pt>
                <c:pt idx="80">
                  <c:v>12.66</c:v>
                </c:pt>
                <c:pt idx="81">
                  <c:v>12.59</c:v>
                </c:pt>
                <c:pt idx="82">
                  <c:v>12.53</c:v>
                </c:pt>
                <c:pt idx="83">
                  <c:v>12.47</c:v>
                </c:pt>
                <c:pt idx="84">
                  <c:v>12.42</c:v>
                </c:pt>
                <c:pt idx="85">
                  <c:v>12.37</c:v>
                </c:pt>
                <c:pt idx="86">
                  <c:v>12.33</c:v>
                </c:pt>
                <c:pt idx="87">
                  <c:v>12.29</c:v>
                </c:pt>
                <c:pt idx="88">
                  <c:v>12.25</c:v>
                </c:pt>
                <c:pt idx="89">
                  <c:v>12.22</c:v>
                </c:pt>
                <c:pt idx="90">
                  <c:v>12.19</c:v>
                </c:pt>
                <c:pt idx="91">
                  <c:v>12.17</c:v>
                </c:pt>
                <c:pt idx="92">
                  <c:v>12.15</c:v>
                </c:pt>
                <c:pt idx="93">
                  <c:v>12.14</c:v>
                </c:pt>
                <c:pt idx="94">
                  <c:v>12.13</c:v>
                </c:pt>
                <c:pt idx="95">
                  <c:v>12.12</c:v>
                </c:pt>
                <c:pt idx="96">
                  <c:v>12.12</c:v>
                </c:pt>
                <c:pt idx="97">
                  <c:v>12.13</c:v>
                </c:pt>
                <c:pt idx="98">
                  <c:v>12.13</c:v>
                </c:pt>
                <c:pt idx="99">
                  <c:v>12.14</c:v>
                </c:pt>
                <c:pt idx="100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85-45B8-B7A9-03C329F66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21503"/>
        <c:axId val="172022943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'Sensitivity Analysis'!$H$2</c15:sqref>
                        </c15:formulaRef>
                      </c:ext>
                    </c:extLst>
                    <c:strCache>
                      <c:ptCount val="1"/>
                      <c:pt idx="0">
                        <c:v>Baseline_Temp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'Sensitivity Analysis'!$A$3:$A$103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2023</c:v>
                      </c:pt>
                      <c:pt idx="24">
                        <c:v>2024</c:v>
                      </c:pt>
                      <c:pt idx="25">
                        <c:v>2025</c:v>
                      </c:pt>
                      <c:pt idx="26">
                        <c:v>2026</c:v>
                      </c:pt>
                      <c:pt idx="27">
                        <c:v>2027</c:v>
                      </c:pt>
                      <c:pt idx="28">
                        <c:v>2028</c:v>
                      </c:pt>
                      <c:pt idx="29">
                        <c:v>2029</c:v>
                      </c:pt>
                      <c:pt idx="30">
                        <c:v>2030</c:v>
                      </c:pt>
                      <c:pt idx="31">
                        <c:v>2031</c:v>
                      </c:pt>
                      <c:pt idx="32">
                        <c:v>2032</c:v>
                      </c:pt>
                      <c:pt idx="33">
                        <c:v>2033</c:v>
                      </c:pt>
                      <c:pt idx="34">
                        <c:v>2034</c:v>
                      </c:pt>
                      <c:pt idx="35">
                        <c:v>2035</c:v>
                      </c:pt>
                      <c:pt idx="36">
                        <c:v>2036</c:v>
                      </c:pt>
                      <c:pt idx="37">
                        <c:v>2037</c:v>
                      </c:pt>
                      <c:pt idx="38">
                        <c:v>2038</c:v>
                      </c:pt>
                      <c:pt idx="39">
                        <c:v>2039</c:v>
                      </c:pt>
                      <c:pt idx="40">
                        <c:v>2040</c:v>
                      </c:pt>
                      <c:pt idx="41">
                        <c:v>2041</c:v>
                      </c:pt>
                      <c:pt idx="42">
                        <c:v>2042</c:v>
                      </c:pt>
                      <c:pt idx="43">
                        <c:v>2043</c:v>
                      </c:pt>
                      <c:pt idx="44">
                        <c:v>2044</c:v>
                      </c:pt>
                      <c:pt idx="45">
                        <c:v>2045</c:v>
                      </c:pt>
                      <c:pt idx="46">
                        <c:v>2046</c:v>
                      </c:pt>
                      <c:pt idx="47">
                        <c:v>2047</c:v>
                      </c:pt>
                      <c:pt idx="48">
                        <c:v>2048</c:v>
                      </c:pt>
                      <c:pt idx="49">
                        <c:v>2049</c:v>
                      </c:pt>
                      <c:pt idx="50">
                        <c:v>2050</c:v>
                      </c:pt>
                      <c:pt idx="51">
                        <c:v>2051</c:v>
                      </c:pt>
                      <c:pt idx="52">
                        <c:v>2052</c:v>
                      </c:pt>
                      <c:pt idx="53">
                        <c:v>2053</c:v>
                      </c:pt>
                      <c:pt idx="54">
                        <c:v>2054</c:v>
                      </c:pt>
                      <c:pt idx="55">
                        <c:v>2055</c:v>
                      </c:pt>
                      <c:pt idx="56">
                        <c:v>2056</c:v>
                      </c:pt>
                      <c:pt idx="57">
                        <c:v>2057</c:v>
                      </c:pt>
                      <c:pt idx="58">
                        <c:v>2058</c:v>
                      </c:pt>
                      <c:pt idx="59">
                        <c:v>2059</c:v>
                      </c:pt>
                      <c:pt idx="60">
                        <c:v>2060</c:v>
                      </c:pt>
                      <c:pt idx="61">
                        <c:v>2061</c:v>
                      </c:pt>
                      <c:pt idx="62">
                        <c:v>2062</c:v>
                      </c:pt>
                      <c:pt idx="63">
                        <c:v>2063</c:v>
                      </c:pt>
                      <c:pt idx="64">
                        <c:v>2064</c:v>
                      </c:pt>
                      <c:pt idx="65">
                        <c:v>2065</c:v>
                      </c:pt>
                      <c:pt idx="66">
                        <c:v>2066</c:v>
                      </c:pt>
                      <c:pt idx="67">
                        <c:v>2067</c:v>
                      </c:pt>
                      <c:pt idx="68">
                        <c:v>2068</c:v>
                      </c:pt>
                      <c:pt idx="69">
                        <c:v>2069</c:v>
                      </c:pt>
                      <c:pt idx="70">
                        <c:v>2070</c:v>
                      </c:pt>
                      <c:pt idx="71">
                        <c:v>2071</c:v>
                      </c:pt>
                      <c:pt idx="72">
                        <c:v>2072</c:v>
                      </c:pt>
                      <c:pt idx="73">
                        <c:v>2073</c:v>
                      </c:pt>
                      <c:pt idx="74">
                        <c:v>2074</c:v>
                      </c:pt>
                      <c:pt idx="75">
                        <c:v>2075</c:v>
                      </c:pt>
                      <c:pt idx="76">
                        <c:v>2076</c:v>
                      </c:pt>
                      <c:pt idx="77">
                        <c:v>2077</c:v>
                      </c:pt>
                      <c:pt idx="78">
                        <c:v>2078</c:v>
                      </c:pt>
                      <c:pt idx="79">
                        <c:v>2079</c:v>
                      </c:pt>
                      <c:pt idx="80">
                        <c:v>2080</c:v>
                      </c:pt>
                      <c:pt idx="81">
                        <c:v>2081</c:v>
                      </c:pt>
                      <c:pt idx="82">
                        <c:v>2082</c:v>
                      </c:pt>
                      <c:pt idx="83">
                        <c:v>2083</c:v>
                      </c:pt>
                      <c:pt idx="84">
                        <c:v>2084</c:v>
                      </c:pt>
                      <c:pt idx="85">
                        <c:v>2085</c:v>
                      </c:pt>
                      <c:pt idx="86">
                        <c:v>2086</c:v>
                      </c:pt>
                      <c:pt idx="87">
                        <c:v>2087</c:v>
                      </c:pt>
                      <c:pt idx="88">
                        <c:v>2088</c:v>
                      </c:pt>
                      <c:pt idx="89">
                        <c:v>2089</c:v>
                      </c:pt>
                      <c:pt idx="90">
                        <c:v>2090</c:v>
                      </c:pt>
                      <c:pt idx="91">
                        <c:v>2091</c:v>
                      </c:pt>
                      <c:pt idx="92">
                        <c:v>2092</c:v>
                      </c:pt>
                      <c:pt idx="93">
                        <c:v>2093</c:v>
                      </c:pt>
                      <c:pt idx="94">
                        <c:v>2094</c:v>
                      </c:pt>
                      <c:pt idx="95">
                        <c:v>2095</c:v>
                      </c:pt>
                      <c:pt idx="96">
                        <c:v>2096</c:v>
                      </c:pt>
                      <c:pt idx="97">
                        <c:v>2097</c:v>
                      </c:pt>
                      <c:pt idx="98">
                        <c:v>2098</c:v>
                      </c:pt>
                      <c:pt idx="99">
                        <c:v>2099</c:v>
                      </c:pt>
                      <c:pt idx="100">
                        <c:v>2100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'Sensitivity Analysis'!$H$3:$H$103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0.78</c:v>
                      </c:pt>
                      <c:pt idx="1">
                        <c:v>0.82</c:v>
                      </c:pt>
                      <c:pt idx="2">
                        <c:v>0.85</c:v>
                      </c:pt>
                      <c:pt idx="3">
                        <c:v>0.87</c:v>
                      </c:pt>
                      <c:pt idx="4">
                        <c:v>0.88</c:v>
                      </c:pt>
                      <c:pt idx="5">
                        <c:v>0.89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0.91</c:v>
                      </c:pt>
                      <c:pt idx="9">
                        <c:v>0.93</c:v>
                      </c:pt>
                      <c:pt idx="10">
                        <c:v>0.95</c:v>
                      </c:pt>
                      <c:pt idx="11">
                        <c:v>0.98</c:v>
                      </c:pt>
                      <c:pt idx="12">
                        <c:v>1.01</c:v>
                      </c:pt>
                      <c:pt idx="13">
                        <c:v>1.04</c:v>
                      </c:pt>
                      <c:pt idx="14">
                        <c:v>1.08</c:v>
                      </c:pt>
                      <c:pt idx="15">
                        <c:v>1.1100000000000001</c:v>
                      </c:pt>
                      <c:pt idx="16">
                        <c:v>1.1499999999999999</c:v>
                      </c:pt>
                      <c:pt idx="17">
                        <c:v>1.17</c:v>
                      </c:pt>
                      <c:pt idx="18">
                        <c:v>1.2</c:v>
                      </c:pt>
                      <c:pt idx="19">
                        <c:v>1.22</c:v>
                      </c:pt>
                      <c:pt idx="20">
                        <c:v>1.25</c:v>
                      </c:pt>
                      <c:pt idx="21">
                        <c:v>1.27</c:v>
                      </c:pt>
                      <c:pt idx="22">
                        <c:v>1.3</c:v>
                      </c:pt>
                      <c:pt idx="23">
                        <c:v>1.33</c:v>
                      </c:pt>
                      <c:pt idx="24">
                        <c:v>1.35</c:v>
                      </c:pt>
                      <c:pt idx="25">
                        <c:v>1.38</c:v>
                      </c:pt>
                      <c:pt idx="26">
                        <c:v>1.4</c:v>
                      </c:pt>
                      <c:pt idx="27">
                        <c:v>1.43</c:v>
                      </c:pt>
                      <c:pt idx="28">
                        <c:v>1.45</c:v>
                      </c:pt>
                      <c:pt idx="29">
                        <c:v>1.48</c:v>
                      </c:pt>
                      <c:pt idx="30">
                        <c:v>1.5</c:v>
                      </c:pt>
                      <c:pt idx="31">
                        <c:v>1.53</c:v>
                      </c:pt>
                      <c:pt idx="32">
                        <c:v>1.55</c:v>
                      </c:pt>
                      <c:pt idx="33">
                        <c:v>1.58</c:v>
                      </c:pt>
                      <c:pt idx="34">
                        <c:v>1.6</c:v>
                      </c:pt>
                      <c:pt idx="35">
                        <c:v>1.63</c:v>
                      </c:pt>
                      <c:pt idx="36">
                        <c:v>1.65</c:v>
                      </c:pt>
                      <c:pt idx="37">
                        <c:v>1.68</c:v>
                      </c:pt>
                      <c:pt idx="38">
                        <c:v>1.71</c:v>
                      </c:pt>
                      <c:pt idx="39">
                        <c:v>1.73</c:v>
                      </c:pt>
                      <c:pt idx="40">
                        <c:v>1.76</c:v>
                      </c:pt>
                      <c:pt idx="41">
                        <c:v>1.78</c:v>
                      </c:pt>
                      <c:pt idx="42">
                        <c:v>1.81</c:v>
                      </c:pt>
                      <c:pt idx="43">
                        <c:v>1.83</c:v>
                      </c:pt>
                      <c:pt idx="44">
                        <c:v>1.86</c:v>
                      </c:pt>
                      <c:pt idx="45">
                        <c:v>1.89</c:v>
                      </c:pt>
                      <c:pt idx="46">
                        <c:v>1.91</c:v>
                      </c:pt>
                      <c:pt idx="47">
                        <c:v>1.94</c:v>
                      </c:pt>
                      <c:pt idx="48">
                        <c:v>1.97</c:v>
                      </c:pt>
                      <c:pt idx="49">
                        <c:v>1.99</c:v>
                      </c:pt>
                      <c:pt idx="50">
                        <c:v>2.02</c:v>
                      </c:pt>
                      <c:pt idx="51">
                        <c:v>2.04</c:v>
                      </c:pt>
                      <c:pt idx="52">
                        <c:v>2.0699999999999998</c:v>
                      </c:pt>
                      <c:pt idx="53">
                        <c:v>2.09</c:v>
                      </c:pt>
                      <c:pt idx="54">
                        <c:v>2.12</c:v>
                      </c:pt>
                      <c:pt idx="55">
                        <c:v>2.14</c:v>
                      </c:pt>
                      <c:pt idx="56">
                        <c:v>2.17</c:v>
                      </c:pt>
                      <c:pt idx="57">
                        <c:v>2.2000000000000002</c:v>
                      </c:pt>
                      <c:pt idx="58">
                        <c:v>2.2200000000000002</c:v>
                      </c:pt>
                      <c:pt idx="59">
                        <c:v>2.25</c:v>
                      </c:pt>
                      <c:pt idx="60">
                        <c:v>2.27</c:v>
                      </c:pt>
                      <c:pt idx="61">
                        <c:v>2.2999999999999998</c:v>
                      </c:pt>
                      <c:pt idx="62">
                        <c:v>2.3199999999999998</c:v>
                      </c:pt>
                      <c:pt idx="63">
                        <c:v>2.35</c:v>
                      </c:pt>
                      <c:pt idx="64">
                        <c:v>2.37</c:v>
                      </c:pt>
                      <c:pt idx="65">
                        <c:v>2.4</c:v>
                      </c:pt>
                      <c:pt idx="66">
                        <c:v>2.4300000000000002</c:v>
                      </c:pt>
                      <c:pt idx="67">
                        <c:v>2.4500000000000002</c:v>
                      </c:pt>
                      <c:pt idx="68">
                        <c:v>2.48</c:v>
                      </c:pt>
                      <c:pt idx="69">
                        <c:v>2.5099999999999998</c:v>
                      </c:pt>
                      <c:pt idx="70">
                        <c:v>2.5299999999999998</c:v>
                      </c:pt>
                      <c:pt idx="71">
                        <c:v>2.56</c:v>
                      </c:pt>
                      <c:pt idx="72">
                        <c:v>2.58</c:v>
                      </c:pt>
                      <c:pt idx="73">
                        <c:v>2.61</c:v>
                      </c:pt>
                      <c:pt idx="74">
                        <c:v>2.64</c:v>
                      </c:pt>
                      <c:pt idx="75">
                        <c:v>2.66</c:v>
                      </c:pt>
                      <c:pt idx="76">
                        <c:v>2.69</c:v>
                      </c:pt>
                      <c:pt idx="77">
                        <c:v>2.71</c:v>
                      </c:pt>
                      <c:pt idx="78">
                        <c:v>2.74</c:v>
                      </c:pt>
                      <c:pt idx="79">
                        <c:v>2.77</c:v>
                      </c:pt>
                      <c:pt idx="80">
                        <c:v>2.8</c:v>
                      </c:pt>
                      <c:pt idx="81">
                        <c:v>2.82</c:v>
                      </c:pt>
                      <c:pt idx="82">
                        <c:v>2.85</c:v>
                      </c:pt>
                      <c:pt idx="83">
                        <c:v>2.88</c:v>
                      </c:pt>
                      <c:pt idx="84">
                        <c:v>2.9</c:v>
                      </c:pt>
                      <c:pt idx="85">
                        <c:v>2.93</c:v>
                      </c:pt>
                      <c:pt idx="86">
                        <c:v>2.95</c:v>
                      </c:pt>
                      <c:pt idx="87">
                        <c:v>2.98</c:v>
                      </c:pt>
                      <c:pt idx="88">
                        <c:v>3.01</c:v>
                      </c:pt>
                      <c:pt idx="89">
                        <c:v>3.04</c:v>
                      </c:pt>
                      <c:pt idx="90">
                        <c:v>3.06</c:v>
                      </c:pt>
                      <c:pt idx="91">
                        <c:v>3.09</c:v>
                      </c:pt>
                      <c:pt idx="92">
                        <c:v>3.12</c:v>
                      </c:pt>
                      <c:pt idx="93">
                        <c:v>3.14</c:v>
                      </c:pt>
                      <c:pt idx="94">
                        <c:v>3.17</c:v>
                      </c:pt>
                      <c:pt idx="95">
                        <c:v>3.19</c:v>
                      </c:pt>
                      <c:pt idx="96">
                        <c:v>3.22</c:v>
                      </c:pt>
                      <c:pt idx="97">
                        <c:v>3.24</c:v>
                      </c:pt>
                      <c:pt idx="98">
                        <c:v>3.27</c:v>
                      </c:pt>
                      <c:pt idx="99">
                        <c:v>3.29</c:v>
                      </c:pt>
                      <c:pt idx="100">
                        <c:v>3.31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285-45B8-B7A9-03C329F6690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'Sensitivity Analysis'!$I$2</c15:sqref>
                        </c15:formulaRef>
                      </c:ext>
                    </c:extLst>
                    <c:strCache>
                      <c:ptCount val="1"/>
                      <c:pt idx="0">
                        <c:v>Current Scenario_Temp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'Sensitivity Analysis'!$A$3:$A$103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  <c:pt idx="23">
                        <c:v>2023</c:v>
                      </c:pt>
                      <c:pt idx="24">
                        <c:v>2024</c:v>
                      </c:pt>
                      <c:pt idx="25">
                        <c:v>2025</c:v>
                      </c:pt>
                      <c:pt idx="26">
                        <c:v>2026</c:v>
                      </c:pt>
                      <c:pt idx="27">
                        <c:v>2027</c:v>
                      </c:pt>
                      <c:pt idx="28">
                        <c:v>2028</c:v>
                      </c:pt>
                      <c:pt idx="29">
                        <c:v>2029</c:v>
                      </c:pt>
                      <c:pt idx="30">
                        <c:v>2030</c:v>
                      </c:pt>
                      <c:pt idx="31">
                        <c:v>2031</c:v>
                      </c:pt>
                      <c:pt idx="32">
                        <c:v>2032</c:v>
                      </c:pt>
                      <c:pt idx="33">
                        <c:v>2033</c:v>
                      </c:pt>
                      <c:pt idx="34">
                        <c:v>2034</c:v>
                      </c:pt>
                      <c:pt idx="35">
                        <c:v>2035</c:v>
                      </c:pt>
                      <c:pt idx="36">
                        <c:v>2036</c:v>
                      </c:pt>
                      <c:pt idx="37">
                        <c:v>2037</c:v>
                      </c:pt>
                      <c:pt idx="38">
                        <c:v>2038</c:v>
                      </c:pt>
                      <c:pt idx="39">
                        <c:v>2039</c:v>
                      </c:pt>
                      <c:pt idx="40">
                        <c:v>2040</c:v>
                      </c:pt>
                      <c:pt idx="41">
                        <c:v>2041</c:v>
                      </c:pt>
                      <c:pt idx="42">
                        <c:v>2042</c:v>
                      </c:pt>
                      <c:pt idx="43">
                        <c:v>2043</c:v>
                      </c:pt>
                      <c:pt idx="44">
                        <c:v>2044</c:v>
                      </c:pt>
                      <c:pt idx="45">
                        <c:v>2045</c:v>
                      </c:pt>
                      <c:pt idx="46">
                        <c:v>2046</c:v>
                      </c:pt>
                      <c:pt idx="47">
                        <c:v>2047</c:v>
                      </c:pt>
                      <c:pt idx="48">
                        <c:v>2048</c:v>
                      </c:pt>
                      <c:pt idx="49">
                        <c:v>2049</c:v>
                      </c:pt>
                      <c:pt idx="50">
                        <c:v>2050</c:v>
                      </c:pt>
                      <c:pt idx="51">
                        <c:v>2051</c:v>
                      </c:pt>
                      <c:pt idx="52">
                        <c:v>2052</c:v>
                      </c:pt>
                      <c:pt idx="53">
                        <c:v>2053</c:v>
                      </c:pt>
                      <c:pt idx="54">
                        <c:v>2054</c:v>
                      </c:pt>
                      <c:pt idx="55">
                        <c:v>2055</c:v>
                      </c:pt>
                      <c:pt idx="56">
                        <c:v>2056</c:v>
                      </c:pt>
                      <c:pt idx="57">
                        <c:v>2057</c:v>
                      </c:pt>
                      <c:pt idx="58">
                        <c:v>2058</c:v>
                      </c:pt>
                      <c:pt idx="59">
                        <c:v>2059</c:v>
                      </c:pt>
                      <c:pt idx="60">
                        <c:v>2060</c:v>
                      </c:pt>
                      <c:pt idx="61">
                        <c:v>2061</c:v>
                      </c:pt>
                      <c:pt idx="62">
                        <c:v>2062</c:v>
                      </c:pt>
                      <c:pt idx="63">
                        <c:v>2063</c:v>
                      </c:pt>
                      <c:pt idx="64">
                        <c:v>2064</c:v>
                      </c:pt>
                      <c:pt idx="65">
                        <c:v>2065</c:v>
                      </c:pt>
                      <c:pt idx="66">
                        <c:v>2066</c:v>
                      </c:pt>
                      <c:pt idx="67">
                        <c:v>2067</c:v>
                      </c:pt>
                      <c:pt idx="68">
                        <c:v>2068</c:v>
                      </c:pt>
                      <c:pt idx="69">
                        <c:v>2069</c:v>
                      </c:pt>
                      <c:pt idx="70">
                        <c:v>2070</c:v>
                      </c:pt>
                      <c:pt idx="71">
                        <c:v>2071</c:v>
                      </c:pt>
                      <c:pt idx="72">
                        <c:v>2072</c:v>
                      </c:pt>
                      <c:pt idx="73">
                        <c:v>2073</c:v>
                      </c:pt>
                      <c:pt idx="74">
                        <c:v>2074</c:v>
                      </c:pt>
                      <c:pt idx="75">
                        <c:v>2075</c:v>
                      </c:pt>
                      <c:pt idx="76">
                        <c:v>2076</c:v>
                      </c:pt>
                      <c:pt idx="77">
                        <c:v>2077</c:v>
                      </c:pt>
                      <c:pt idx="78">
                        <c:v>2078</c:v>
                      </c:pt>
                      <c:pt idx="79">
                        <c:v>2079</c:v>
                      </c:pt>
                      <c:pt idx="80">
                        <c:v>2080</c:v>
                      </c:pt>
                      <c:pt idx="81">
                        <c:v>2081</c:v>
                      </c:pt>
                      <c:pt idx="82">
                        <c:v>2082</c:v>
                      </c:pt>
                      <c:pt idx="83">
                        <c:v>2083</c:v>
                      </c:pt>
                      <c:pt idx="84">
                        <c:v>2084</c:v>
                      </c:pt>
                      <c:pt idx="85">
                        <c:v>2085</c:v>
                      </c:pt>
                      <c:pt idx="86">
                        <c:v>2086</c:v>
                      </c:pt>
                      <c:pt idx="87">
                        <c:v>2087</c:v>
                      </c:pt>
                      <c:pt idx="88">
                        <c:v>2088</c:v>
                      </c:pt>
                      <c:pt idx="89">
                        <c:v>2089</c:v>
                      </c:pt>
                      <c:pt idx="90">
                        <c:v>2090</c:v>
                      </c:pt>
                      <c:pt idx="91">
                        <c:v>2091</c:v>
                      </c:pt>
                      <c:pt idx="92">
                        <c:v>2092</c:v>
                      </c:pt>
                      <c:pt idx="93">
                        <c:v>2093</c:v>
                      </c:pt>
                      <c:pt idx="94">
                        <c:v>2094</c:v>
                      </c:pt>
                      <c:pt idx="95">
                        <c:v>2095</c:v>
                      </c:pt>
                      <c:pt idx="96">
                        <c:v>2096</c:v>
                      </c:pt>
                      <c:pt idx="97">
                        <c:v>2097</c:v>
                      </c:pt>
                      <c:pt idx="98">
                        <c:v>2098</c:v>
                      </c:pt>
                      <c:pt idx="99">
                        <c:v>2099</c:v>
                      </c:pt>
                      <c:pt idx="100">
                        <c:v>2100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'Sensitivity Analysis'!$I$3:$I$103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0.78</c:v>
                      </c:pt>
                      <c:pt idx="1">
                        <c:v>0.82</c:v>
                      </c:pt>
                      <c:pt idx="2">
                        <c:v>0.85</c:v>
                      </c:pt>
                      <c:pt idx="3">
                        <c:v>0.87</c:v>
                      </c:pt>
                      <c:pt idx="4">
                        <c:v>0.88</c:v>
                      </c:pt>
                      <c:pt idx="5">
                        <c:v>0.89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0.91</c:v>
                      </c:pt>
                      <c:pt idx="9">
                        <c:v>0.93</c:v>
                      </c:pt>
                      <c:pt idx="10">
                        <c:v>0.95</c:v>
                      </c:pt>
                      <c:pt idx="11">
                        <c:v>0.98</c:v>
                      </c:pt>
                      <c:pt idx="12">
                        <c:v>1.01</c:v>
                      </c:pt>
                      <c:pt idx="13">
                        <c:v>1.04</c:v>
                      </c:pt>
                      <c:pt idx="14">
                        <c:v>1.08</c:v>
                      </c:pt>
                      <c:pt idx="15">
                        <c:v>1.1100000000000001</c:v>
                      </c:pt>
                      <c:pt idx="16">
                        <c:v>1.1499999999999999</c:v>
                      </c:pt>
                      <c:pt idx="17">
                        <c:v>1.17</c:v>
                      </c:pt>
                      <c:pt idx="18">
                        <c:v>1.2</c:v>
                      </c:pt>
                      <c:pt idx="19">
                        <c:v>1.22</c:v>
                      </c:pt>
                      <c:pt idx="20">
                        <c:v>1.25</c:v>
                      </c:pt>
                      <c:pt idx="21">
                        <c:v>1.27</c:v>
                      </c:pt>
                      <c:pt idx="22">
                        <c:v>1.3</c:v>
                      </c:pt>
                      <c:pt idx="23">
                        <c:v>1.33</c:v>
                      </c:pt>
                      <c:pt idx="24">
                        <c:v>1.35</c:v>
                      </c:pt>
                      <c:pt idx="25">
                        <c:v>1.38</c:v>
                      </c:pt>
                      <c:pt idx="26">
                        <c:v>1.4</c:v>
                      </c:pt>
                      <c:pt idx="27">
                        <c:v>1.43</c:v>
                      </c:pt>
                      <c:pt idx="28">
                        <c:v>1.45</c:v>
                      </c:pt>
                      <c:pt idx="29">
                        <c:v>1.48</c:v>
                      </c:pt>
                      <c:pt idx="30">
                        <c:v>1.5</c:v>
                      </c:pt>
                      <c:pt idx="31">
                        <c:v>1.52</c:v>
                      </c:pt>
                      <c:pt idx="32">
                        <c:v>1.54</c:v>
                      </c:pt>
                      <c:pt idx="33">
                        <c:v>1.56</c:v>
                      </c:pt>
                      <c:pt idx="34">
                        <c:v>1.59</c:v>
                      </c:pt>
                      <c:pt idx="35">
                        <c:v>1.61</c:v>
                      </c:pt>
                      <c:pt idx="36">
                        <c:v>1.63</c:v>
                      </c:pt>
                      <c:pt idx="37">
                        <c:v>1.64</c:v>
                      </c:pt>
                      <c:pt idx="38">
                        <c:v>1.66</c:v>
                      </c:pt>
                      <c:pt idx="39">
                        <c:v>1.68</c:v>
                      </c:pt>
                      <c:pt idx="40">
                        <c:v>1.69</c:v>
                      </c:pt>
                      <c:pt idx="41">
                        <c:v>1.7</c:v>
                      </c:pt>
                      <c:pt idx="42">
                        <c:v>1.72</c:v>
                      </c:pt>
                      <c:pt idx="43">
                        <c:v>1.73</c:v>
                      </c:pt>
                      <c:pt idx="44">
                        <c:v>1.74</c:v>
                      </c:pt>
                      <c:pt idx="45">
                        <c:v>1.75</c:v>
                      </c:pt>
                      <c:pt idx="46">
                        <c:v>1.76</c:v>
                      </c:pt>
                      <c:pt idx="47">
                        <c:v>1.77</c:v>
                      </c:pt>
                      <c:pt idx="48">
                        <c:v>1.78</c:v>
                      </c:pt>
                      <c:pt idx="49">
                        <c:v>1.79</c:v>
                      </c:pt>
                      <c:pt idx="50">
                        <c:v>1.8</c:v>
                      </c:pt>
                      <c:pt idx="51">
                        <c:v>1.81</c:v>
                      </c:pt>
                      <c:pt idx="52">
                        <c:v>1.81</c:v>
                      </c:pt>
                      <c:pt idx="53">
                        <c:v>1.82</c:v>
                      </c:pt>
                      <c:pt idx="54">
                        <c:v>1.82</c:v>
                      </c:pt>
                      <c:pt idx="55">
                        <c:v>1.83</c:v>
                      </c:pt>
                      <c:pt idx="56">
                        <c:v>1.84</c:v>
                      </c:pt>
                      <c:pt idx="57">
                        <c:v>1.84</c:v>
                      </c:pt>
                      <c:pt idx="58">
                        <c:v>1.85</c:v>
                      </c:pt>
                      <c:pt idx="59">
                        <c:v>1.85</c:v>
                      </c:pt>
                      <c:pt idx="60">
                        <c:v>1.85</c:v>
                      </c:pt>
                      <c:pt idx="61">
                        <c:v>1.86</c:v>
                      </c:pt>
                      <c:pt idx="62">
                        <c:v>1.86</c:v>
                      </c:pt>
                      <c:pt idx="63">
                        <c:v>1.87</c:v>
                      </c:pt>
                      <c:pt idx="64">
                        <c:v>1.87</c:v>
                      </c:pt>
                      <c:pt idx="65">
                        <c:v>1.88</c:v>
                      </c:pt>
                      <c:pt idx="66">
                        <c:v>1.88</c:v>
                      </c:pt>
                      <c:pt idx="67">
                        <c:v>1.88</c:v>
                      </c:pt>
                      <c:pt idx="68">
                        <c:v>1.89</c:v>
                      </c:pt>
                      <c:pt idx="69">
                        <c:v>1.89</c:v>
                      </c:pt>
                      <c:pt idx="70">
                        <c:v>1.9</c:v>
                      </c:pt>
                      <c:pt idx="71">
                        <c:v>1.9</c:v>
                      </c:pt>
                      <c:pt idx="72">
                        <c:v>1.9</c:v>
                      </c:pt>
                      <c:pt idx="73">
                        <c:v>1.91</c:v>
                      </c:pt>
                      <c:pt idx="74">
                        <c:v>1.91</c:v>
                      </c:pt>
                      <c:pt idx="75">
                        <c:v>1.91</c:v>
                      </c:pt>
                      <c:pt idx="76">
                        <c:v>1.91</c:v>
                      </c:pt>
                      <c:pt idx="77">
                        <c:v>1.92</c:v>
                      </c:pt>
                      <c:pt idx="78">
                        <c:v>1.92</c:v>
                      </c:pt>
                      <c:pt idx="79">
                        <c:v>1.93</c:v>
                      </c:pt>
                      <c:pt idx="80">
                        <c:v>1.93</c:v>
                      </c:pt>
                      <c:pt idx="81">
                        <c:v>1.94</c:v>
                      </c:pt>
                      <c:pt idx="82">
                        <c:v>1.94</c:v>
                      </c:pt>
                      <c:pt idx="83">
                        <c:v>1.94</c:v>
                      </c:pt>
                      <c:pt idx="84">
                        <c:v>1.95</c:v>
                      </c:pt>
                      <c:pt idx="85">
                        <c:v>1.95</c:v>
                      </c:pt>
                      <c:pt idx="86">
                        <c:v>1.95</c:v>
                      </c:pt>
                      <c:pt idx="87">
                        <c:v>1.96</c:v>
                      </c:pt>
                      <c:pt idx="88">
                        <c:v>1.96</c:v>
                      </c:pt>
                      <c:pt idx="89">
                        <c:v>1.96</c:v>
                      </c:pt>
                      <c:pt idx="90">
                        <c:v>1.97</c:v>
                      </c:pt>
                      <c:pt idx="91">
                        <c:v>1.97</c:v>
                      </c:pt>
                      <c:pt idx="92">
                        <c:v>1.98</c:v>
                      </c:pt>
                      <c:pt idx="93">
                        <c:v>1.98</c:v>
                      </c:pt>
                      <c:pt idx="94">
                        <c:v>1.98</c:v>
                      </c:pt>
                      <c:pt idx="95">
                        <c:v>1.99</c:v>
                      </c:pt>
                      <c:pt idx="96">
                        <c:v>1.99</c:v>
                      </c:pt>
                      <c:pt idx="97">
                        <c:v>1.99</c:v>
                      </c:pt>
                      <c:pt idx="98">
                        <c:v>1.99</c:v>
                      </c:pt>
                      <c:pt idx="99">
                        <c:v>2</c:v>
                      </c:pt>
                      <c:pt idx="100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285-45B8-B7A9-03C329F66906}"/>
                  </c:ext>
                </c:extLst>
              </c15:ser>
            </c15:filteredLineSeries>
          </c:ext>
        </c:extLst>
      </c:lineChart>
      <c:catAx>
        <c:axId val="17202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2943"/>
        <c:crosses val="autoZero"/>
        <c:auto val="1"/>
        <c:lblAlgn val="ctr"/>
        <c:lblOffset val="100"/>
        <c:noMultiLvlLbl val="0"/>
      </c:catAx>
      <c:valAx>
        <c:axId val="1720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2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Difference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 Analysis'!$H$2</c:f>
              <c:strCache>
                <c:ptCount val="1"/>
                <c:pt idx="0">
                  <c:v>Baseline_Temp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'Sensitivity Analysis'!$H$3:$H$103</c:f>
              <c:numCache>
                <c:formatCode>General</c:formatCode>
                <c:ptCount val="101"/>
                <c:pt idx="0">
                  <c:v>0.78</c:v>
                </c:pt>
                <c:pt idx="1">
                  <c:v>0.82</c:v>
                </c:pt>
                <c:pt idx="2">
                  <c:v>0.85</c:v>
                </c:pt>
                <c:pt idx="3">
                  <c:v>0.87</c:v>
                </c:pt>
                <c:pt idx="4">
                  <c:v>0.88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0.95</c:v>
                </c:pt>
                <c:pt idx="11">
                  <c:v>0.98</c:v>
                </c:pt>
                <c:pt idx="12">
                  <c:v>1.01</c:v>
                </c:pt>
                <c:pt idx="13">
                  <c:v>1.04</c:v>
                </c:pt>
                <c:pt idx="14">
                  <c:v>1.08</c:v>
                </c:pt>
                <c:pt idx="15">
                  <c:v>1.1100000000000001</c:v>
                </c:pt>
                <c:pt idx="16">
                  <c:v>1.1499999999999999</c:v>
                </c:pt>
                <c:pt idx="17">
                  <c:v>1.17</c:v>
                </c:pt>
                <c:pt idx="18">
                  <c:v>1.2</c:v>
                </c:pt>
                <c:pt idx="19">
                  <c:v>1.22</c:v>
                </c:pt>
                <c:pt idx="20">
                  <c:v>1.25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1.35</c:v>
                </c:pt>
                <c:pt idx="25">
                  <c:v>1.38</c:v>
                </c:pt>
                <c:pt idx="26">
                  <c:v>1.4</c:v>
                </c:pt>
                <c:pt idx="27">
                  <c:v>1.43</c:v>
                </c:pt>
                <c:pt idx="28">
                  <c:v>1.45</c:v>
                </c:pt>
                <c:pt idx="29">
                  <c:v>1.48</c:v>
                </c:pt>
                <c:pt idx="30">
                  <c:v>1.5</c:v>
                </c:pt>
                <c:pt idx="31">
                  <c:v>1.53</c:v>
                </c:pt>
                <c:pt idx="32">
                  <c:v>1.55</c:v>
                </c:pt>
                <c:pt idx="33">
                  <c:v>1.58</c:v>
                </c:pt>
                <c:pt idx="34">
                  <c:v>1.6</c:v>
                </c:pt>
                <c:pt idx="35">
                  <c:v>1.63</c:v>
                </c:pt>
                <c:pt idx="36">
                  <c:v>1.65</c:v>
                </c:pt>
                <c:pt idx="37">
                  <c:v>1.68</c:v>
                </c:pt>
                <c:pt idx="38">
                  <c:v>1.71</c:v>
                </c:pt>
                <c:pt idx="39">
                  <c:v>1.73</c:v>
                </c:pt>
                <c:pt idx="40">
                  <c:v>1.76</c:v>
                </c:pt>
                <c:pt idx="41">
                  <c:v>1.78</c:v>
                </c:pt>
                <c:pt idx="42">
                  <c:v>1.81</c:v>
                </c:pt>
                <c:pt idx="43">
                  <c:v>1.83</c:v>
                </c:pt>
                <c:pt idx="44">
                  <c:v>1.86</c:v>
                </c:pt>
                <c:pt idx="45">
                  <c:v>1.89</c:v>
                </c:pt>
                <c:pt idx="46">
                  <c:v>1.91</c:v>
                </c:pt>
                <c:pt idx="47">
                  <c:v>1.94</c:v>
                </c:pt>
                <c:pt idx="48">
                  <c:v>1.97</c:v>
                </c:pt>
                <c:pt idx="49">
                  <c:v>1.99</c:v>
                </c:pt>
                <c:pt idx="50">
                  <c:v>2.02</c:v>
                </c:pt>
                <c:pt idx="51">
                  <c:v>2.04</c:v>
                </c:pt>
                <c:pt idx="52">
                  <c:v>2.0699999999999998</c:v>
                </c:pt>
                <c:pt idx="53">
                  <c:v>2.09</c:v>
                </c:pt>
                <c:pt idx="54">
                  <c:v>2.12</c:v>
                </c:pt>
                <c:pt idx="55">
                  <c:v>2.14</c:v>
                </c:pt>
                <c:pt idx="56">
                  <c:v>2.17</c:v>
                </c:pt>
                <c:pt idx="57">
                  <c:v>2.2000000000000002</c:v>
                </c:pt>
                <c:pt idx="58">
                  <c:v>2.2200000000000002</c:v>
                </c:pt>
                <c:pt idx="59">
                  <c:v>2.25</c:v>
                </c:pt>
                <c:pt idx="60">
                  <c:v>2.27</c:v>
                </c:pt>
                <c:pt idx="61">
                  <c:v>2.2999999999999998</c:v>
                </c:pt>
                <c:pt idx="62">
                  <c:v>2.3199999999999998</c:v>
                </c:pt>
                <c:pt idx="63">
                  <c:v>2.35</c:v>
                </c:pt>
                <c:pt idx="64">
                  <c:v>2.37</c:v>
                </c:pt>
                <c:pt idx="65">
                  <c:v>2.4</c:v>
                </c:pt>
                <c:pt idx="66">
                  <c:v>2.4300000000000002</c:v>
                </c:pt>
                <c:pt idx="67">
                  <c:v>2.4500000000000002</c:v>
                </c:pt>
                <c:pt idx="68">
                  <c:v>2.48</c:v>
                </c:pt>
                <c:pt idx="69">
                  <c:v>2.5099999999999998</c:v>
                </c:pt>
                <c:pt idx="70">
                  <c:v>2.5299999999999998</c:v>
                </c:pt>
                <c:pt idx="71">
                  <c:v>2.56</c:v>
                </c:pt>
                <c:pt idx="72">
                  <c:v>2.58</c:v>
                </c:pt>
                <c:pt idx="73">
                  <c:v>2.61</c:v>
                </c:pt>
                <c:pt idx="74">
                  <c:v>2.64</c:v>
                </c:pt>
                <c:pt idx="75">
                  <c:v>2.66</c:v>
                </c:pt>
                <c:pt idx="76">
                  <c:v>2.69</c:v>
                </c:pt>
                <c:pt idx="77">
                  <c:v>2.71</c:v>
                </c:pt>
                <c:pt idx="78">
                  <c:v>2.74</c:v>
                </c:pt>
                <c:pt idx="79">
                  <c:v>2.77</c:v>
                </c:pt>
                <c:pt idx="80">
                  <c:v>2.8</c:v>
                </c:pt>
                <c:pt idx="81">
                  <c:v>2.82</c:v>
                </c:pt>
                <c:pt idx="82">
                  <c:v>2.85</c:v>
                </c:pt>
                <c:pt idx="83">
                  <c:v>2.88</c:v>
                </c:pt>
                <c:pt idx="84">
                  <c:v>2.9</c:v>
                </c:pt>
                <c:pt idx="85">
                  <c:v>2.93</c:v>
                </c:pt>
                <c:pt idx="86">
                  <c:v>2.95</c:v>
                </c:pt>
                <c:pt idx="87">
                  <c:v>2.98</c:v>
                </c:pt>
                <c:pt idx="88">
                  <c:v>3.01</c:v>
                </c:pt>
                <c:pt idx="89">
                  <c:v>3.04</c:v>
                </c:pt>
                <c:pt idx="90">
                  <c:v>3.06</c:v>
                </c:pt>
                <c:pt idx="91">
                  <c:v>3.09</c:v>
                </c:pt>
                <c:pt idx="92">
                  <c:v>3.12</c:v>
                </c:pt>
                <c:pt idx="93">
                  <c:v>3.14</c:v>
                </c:pt>
                <c:pt idx="94">
                  <c:v>3.17</c:v>
                </c:pt>
                <c:pt idx="95">
                  <c:v>3.19</c:v>
                </c:pt>
                <c:pt idx="96">
                  <c:v>3.22</c:v>
                </c:pt>
                <c:pt idx="97">
                  <c:v>3.24</c:v>
                </c:pt>
                <c:pt idx="98">
                  <c:v>3.27</c:v>
                </c:pt>
                <c:pt idx="99">
                  <c:v>3.29</c:v>
                </c:pt>
                <c:pt idx="100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F-45C6-BF12-47718D10CB15}"/>
            </c:ext>
          </c:extLst>
        </c:ser>
        <c:ser>
          <c:idx val="1"/>
          <c:order val="1"/>
          <c:tx>
            <c:strRef>
              <c:f>'Sensitivity Analysis'!$I$2</c:f>
              <c:strCache>
                <c:ptCount val="1"/>
                <c:pt idx="0">
                  <c:v>Current Scenario_Temp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'Sensitivity Analysis'!$I$3:$I$103</c:f>
              <c:numCache>
                <c:formatCode>General</c:formatCode>
                <c:ptCount val="101"/>
                <c:pt idx="0">
                  <c:v>0.78</c:v>
                </c:pt>
                <c:pt idx="1">
                  <c:v>0.82</c:v>
                </c:pt>
                <c:pt idx="2">
                  <c:v>0.85</c:v>
                </c:pt>
                <c:pt idx="3">
                  <c:v>0.87</c:v>
                </c:pt>
                <c:pt idx="4">
                  <c:v>0.88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0.95</c:v>
                </c:pt>
                <c:pt idx="11">
                  <c:v>0.98</c:v>
                </c:pt>
                <c:pt idx="12">
                  <c:v>1.01</c:v>
                </c:pt>
                <c:pt idx="13">
                  <c:v>1.04</c:v>
                </c:pt>
                <c:pt idx="14">
                  <c:v>1.08</c:v>
                </c:pt>
                <c:pt idx="15">
                  <c:v>1.1100000000000001</c:v>
                </c:pt>
                <c:pt idx="16">
                  <c:v>1.1499999999999999</c:v>
                </c:pt>
                <c:pt idx="17">
                  <c:v>1.17</c:v>
                </c:pt>
                <c:pt idx="18">
                  <c:v>1.2</c:v>
                </c:pt>
                <c:pt idx="19">
                  <c:v>1.22</c:v>
                </c:pt>
                <c:pt idx="20">
                  <c:v>1.25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1.35</c:v>
                </c:pt>
                <c:pt idx="25">
                  <c:v>1.38</c:v>
                </c:pt>
                <c:pt idx="26">
                  <c:v>1.4</c:v>
                </c:pt>
                <c:pt idx="27">
                  <c:v>1.43</c:v>
                </c:pt>
                <c:pt idx="28">
                  <c:v>1.45</c:v>
                </c:pt>
                <c:pt idx="29">
                  <c:v>1.48</c:v>
                </c:pt>
                <c:pt idx="30">
                  <c:v>1.5</c:v>
                </c:pt>
                <c:pt idx="31">
                  <c:v>1.52</c:v>
                </c:pt>
                <c:pt idx="32">
                  <c:v>1.54</c:v>
                </c:pt>
                <c:pt idx="33">
                  <c:v>1.56</c:v>
                </c:pt>
                <c:pt idx="34">
                  <c:v>1.59</c:v>
                </c:pt>
                <c:pt idx="35">
                  <c:v>1.61</c:v>
                </c:pt>
                <c:pt idx="36">
                  <c:v>1.63</c:v>
                </c:pt>
                <c:pt idx="37">
                  <c:v>1.64</c:v>
                </c:pt>
                <c:pt idx="38">
                  <c:v>1.66</c:v>
                </c:pt>
                <c:pt idx="39">
                  <c:v>1.68</c:v>
                </c:pt>
                <c:pt idx="40">
                  <c:v>1.69</c:v>
                </c:pt>
                <c:pt idx="41">
                  <c:v>1.7</c:v>
                </c:pt>
                <c:pt idx="42">
                  <c:v>1.72</c:v>
                </c:pt>
                <c:pt idx="43">
                  <c:v>1.73</c:v>
                </c:pt>
                <c:pt idx="44">
                  <c:v>1.74</c:v>
                </c:pt>
                <c:pt idx="45">
                  <c:v>1.75</c:v>
                </c:pt>
                <c:pt idx="46">
                  <c:v>1.76</c:v>
                </c:pt>
                <c:pt idx="47">
                  <c:v>1.77</c:v>
                </c:pt>
                <c:pt idx="48">
                  <c:v>1.78</c:v>
                </c:pt>
                <c:pt idx="49">
                  <c:v>1.79</c:v>
                </c:pt>
                <c:pt idx="50">
                  <c:v>1.8</c:v>
                </c:pt>
                <c:pt idx="51">
                  <c:v>1.81</c:v>
                </c:pt>
                <c:pt idx="52">
                  <c:v>1.81</c:v>
                </c:pt>
                <c:pt idx="53">
                  <c:v>1.82</c:v>
                </c:pt>
                <c:pt idx="54">
                  <c:v>1.82</c:v>
                </c:pt>
                <c:pt idx="55">
                  <c:v>1.83</c:v>
                </c:pt>
                <c:pt idx="56">
                  <c:v>1.84</c:v>
                </c:pt>
                <c:pt idx="57">
                  <c:v>1.84</c:v>
                </c:pt>
                <c:pt idx="58">
                  <c:v>1.85</c:v>
                </c:pt>
                <c:pt idx="59">
                  <c:v>1.85</c:v>
                </c:pt>
                <c:pt idx="60">
                  <c:v>1.85</c:v>
                </c:pt>
                <c:pt idx="61">
                  <c:v>1.86</c:v>
                </c:pt>
                <c:pt idx="62">
                  <c:v>1.86</c:v>
                </c:pt>
                <c:pt idx="63">
                  <c:v>1.87</c:v>
                </c:pt>
                <c:pt idx="64">
                  <c:v>1.87</c:v>
                </c:pt>
                <c:pt idx="65">
                  <c:v>1.88</c:v>
                </c:pt>
                <c:pt idx="66">
                  <c:v>1.88</c:v>
                </c:pt>
                <c:pt idx="67">
                  <c:v>1.88</c:v>
                </c:pt>
                <c:pt idx="68">
                  <c:v>1.89</c:v>
                </c:pt>
                <c:pt idx="69">
                  <c:v>1.89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1.91</c:v>
                </c:pt>
                <c:pt idx="74">
                  <c:v>1.91</c:v>
                </c:pt>
                <c:pt idx="75">
                  <c:v>1.91</c:v>
                </c:pt>
                <c:pt idx="76">
                  <c:v>1.91</c:v>
                </c:pt>
                <c:pt idx="77">
                  <c:v>1.92</c:v>
                </c:pt>
                <c:pt idx="78">
                  <c:v>1.92</c:v>
                </c:pt>
                <c:pt idx="79">
                  <c:v>1.93</c:v>
                </c:pt>
                <c:pt idx="80">
                  <c:v>1.93</c:v>
                </c:pt>
                <c:pt idx="81">
                  <c:v>1.94</c:v>
                </c:pt>
                <c:pt idx="82">
                  <c:v>1.94</c:v>
                </c:pt>
                <c:pt idx="83">
                  <c:v>1.94</c:v>
                </c:pt>
                <c:pt idx="84">
                  <c:v>1.95</c:v>
                </c:pt>
                <c:pt idx="85">
                  <c:v>1.95</c:v>
                </c:pt>
                <c:pt idx="86">
                  <c:v>1.95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1.97</c:v>
                </c:pt>
                <c:pt idx="91">
                  <c:v>1.97</c:v>
                </c:pt>
                <c:pt idx="92">
                  <c:v>1.98</c:v>
                </c:pt>
                <c:pt idx="93">
                  <c:v>1.98</c:v>
                </c:pt>
                <c:pt idx="94">
                  <c:v>1.98</c:v>
                </c:pt>
                <c:pt idx="95">
                  <c:v>1.99</c:v>
                </c:pt>
                <c:pt idx="96">
                  <c:v>1.99</c:v>
                </c:pt>
                <c:pt idx="97">
                  <c:v>1.99</c:v>
                </c:pt>
                <c:pt idx="98">
                  <c:v>1.99</c:v>
                </c:pt>
                <c:pt idx="99">
                  <c:v>2</c:v>
                </c:pt>
                <c:pt idx="1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F-45C6-BF12-47718D10C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57199"/>
        <c:axId val="191855279"/>
      </c:lineChart>
      <c:catAx>
        <c:axId val="1918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5279"/>
        <c:crosses val="autoZero"/>
        <c:auto val="1"/>
        <c:lblAlgn val="ctr"/>
        <c:lblOffset val="100"/>
        <c:noMultiLvlLbl val="0"/>
      </c:catAx>
      <c:valAx>
        <c:axId val="19185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5</xdr:row>
      <xdr:rowOff>152400</xdr:rowOff>
    </xdr:from>
    <xdr:to>
      <xdr:col>15</xdr:col>
      <xdr:colOff>200025</xdr:colOff>
      <xdr:row>27</xdr:row>
      <xdr:rowOff>0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DE34E4CB-05D5-691B-0579-62748BF26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146276</xdr:colOff>
      <xdr:row>4</xdr:row>
      <xdr:rowOff>53748</xdr:rowOff>
    </xdr:from>
    <xdr:to>
      <xdr:col>21</xdr:col>
      <xdr:colOff>0</xdr:colOff>
      <xdr:row>26</xdr:row>
      <xdr:rowOff>124408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88730-C1C8-E874-7591-BA23951A0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67234</xdr:colOff>
      <xdr:row>2</xdr:row>
      <xdr:rowOff>112058</xdr:rowOff>
    </xdr:from>
    <xdr:to>
      <xdr:col>19</xdr:col>
      <xdr:colOff>277905</xdr:colOff>
      <xdr:row>26</xdr:row>
      <xdr:rowOff>107576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F6603185-06A5-4AB9-ED1A-01C4033E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29</xdr:row>
      <xdr:rowOff>147918</xdr:rowOff>
    </xdr:from>
    <xdr:to>
      <xdr:col>17</xdr:col>
      <xdr:colOff>533400</xdr:colOff>
      <xdr:row>45</xdr:row>
      <xdr:rowOff>22412</xdr:rowOff>
    </xdr:to>
    <xdr:graphicFrame macro="">
      <xdr:nvGraphicFramePr>
        <xdr:cNvPr id="46" name="Chart 2">
          <a:extLst>
            <a:ext uri="{FF2B5EF4-FFF2-40B4-BE49-F238E27FC236}">
              <a16:creationId xmlns:a16="http://schemas.microsoft.com/office/drawing/2014/main" id="{5B9C228C-AD51-32EC-0FA0-549C8FEE734E}"/>
            </a:ext>
            <a:ext uri="{147F2762-F138-4A5C-976F-8EAC2B608ADB}">
              <a16:predDERef xmlns:a16="http://schemas.microsoft.com/office/drawing/2014/main" pred="{F6603185-06A5-4AB9-ED1A-01C4033E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805892-4CA6-42B9-9FE9-A932B1729980}" name="Table4" displayName="Table4" ref="A2:I103" totalsRowShown="0">
  <autoFilter ref="A2:I103" xr:uid="{FC805892-4CA6-42B9-9FE9-A932B1729980}"/>
  <tableColumns count="9">
    <tableColumn id="1" xr3:uid="{334286E4-74CD-46F9-80B5-268083154637}" name="Year"/>
    <tableColumn id="2" xr3:uid="{B4E3849E-3ED7-4878-BF69-6360D051B8E9}" name="Coal"/>
    <tableColumn id="3" xr3:uid="{F0947B67-CD2C-4908-AE0D-123B934A8DD4}" name="Oil"/>
    <tableColumn id="4" xr3:uid="{680BDEEE-F334-43E4-87F3-6D641E63EEC1}" name="Gas"/>
    <tableColumn id="5" xr3:uid="{E8ADC293-D69B-4826-8CDF-F6950D35F110}" name="Renewables"/>
    <tableColumn id="6" xr3:uid="{0C74D5DD-3286-4473-A46A-EFE3B2DEBA70}" name="Bioenergy"/>
    <tableColumn id="7" xr3:uid="{DAD4C36C-9322-405A-BDAF-EDFF34AF3CF0}" name="Nuclear"/>
    <tableColumn id="8" xr3:uid="{3F8D9A1A-62D6-4648-80FB-C12DAA4F634A}" name="Baseline_Temp"/>
    <tableColumn id="9" xr3:uid="{4233EC6D-97F7-4B61-80CA-FB009F8EC780}" name="Current Scenario_Te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39ADB-B453-49DB-949A-BAE91106ED94}" name="Table1" displayName="Table1" ref="A2:H103" totalsRowShown="0">
  <autoFilter ref="A2:H103" xr:uid="{7C539ADB-B453-49DB-949A-BAE91106ED94}"/>
  <tableColumns count="8">
    <tableColumn id="1" xr3:uid="{38E0983B-DE4B-4464-B3A3-4957710D5C3C}" name="Year"/>
    <tableColumn id="2" xr3:uid="{71CAEAC7-A8FA-4E3A-B9EB-C23E6F6C8376}" name="Coal"/>
    <tableColumn id="3" xr3:uid="{36802DE6-1B38-4125-AEF2-88EE17363E4D}" name="Oil"/>
    <tableColumn id="4" xr3:uid="{742D78A3-AFF7-48B9-A272-46D29B60AA64}" name="Gas"/>
    <tableColumn id="5" xr3:uid="{90B841EA-E78E-447E-A9F6-9C463A700FDB}" name="Renewables"/>
    <tableColumn id="6" xr3:uid="{CB60BD73-1AA6-4D38-BB03-7978C3CA980A}" name="Bioenergy"/>
    <tableColumn id="7" xr3:uid="{8C164FDA-E196-4F51-989E-5E456C8AB1C2}" name="Nuclear"/>
    <tableColumn id="8" xr3:uid="{D5E35706-E72D-45FD-8230-0292425E9F80}" name="Probabi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04EEEF-E436-4D91-81FA-314646724D0B}" name="Table2" displayName="Table2" ref="J2:O103" totalsRowShown="0">
  <autoFilter ref="J2:O103" xr:uid="{3304EEEF-E436-4D91-81FA-314646724D0B}"/>
  <tableColumns count="6">
    <tableColumn id="1" xr3:uid="{5D124396-08A9-4DB3-BF79-1248F01C4153}" name="Coal">
      <calculatedColumnFormula>$B$106-Table1[[#This Row],[Coal]]</calculatedColumnFormula>
    </tableColumn>
    <tableColumn id="2" xr3:uid="{F0E89A6B-3A9E-4C42-BB5C-DAF59248B606}" name="Oil">
      <calculatedColumnFormula>$C$106-Table1[[#This Row],[Oil]]</calculatedColumnFormula>
    </tableColumn>
    <tableColumn id="3" xr3:uid="{B30D7604-DCD0-4803-BBB2-D78231DA7E08}" name="Gas">
      <calculatedColumnFormula>$D$106-Table1[[#This Row],[Gas]]</calculatedColumnFormula>
    </tableColumn>
    <tableColumn id="4" xr3:uid="{D79A8CFA-7AD9-4D50-B075-9D403B88EB2F}" name="Renewables">
      <calculatedColumnFormula>$E$106-Table1[[#This Row],[Renewables]]</calculatedColumnFormula>
    </tableColumn>
    <tableColumn id="5" xr3:uid="{109DB6BE-F1DD-4215-A824-274131062347}" name="Bioenergy">
      <calculatedColumnFormula>$F$106-Table1[[#This Row],[Bioenergy]]</calculatedColumnFormula>
    </tableColumn>
    <tableColumn id="6" xr3:uid="{F10EF6D8-4B32-43AD-B617-C045A2F8F8F6}" name="Nuclear">
      <calculatedColumnFormula>$G$106-Table1[[#This Row],[Nuclear]]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FD9412-728D-483B-AE71-7B8159934AB1}" name="Table5" displayName="Table5" ref="A1:C102" totalsRowShown="0">
  <autoFilter ref="A1:C102" xr:uid="{83FD9412-728D-483B-AE71-7B8159934AB1}"/>
  <tableColumns count="3">
    <tableColumn id="1" xr3:uid="{EB716D71-7C3C-4A85-9FBE-4708FEE4182F}" name="Year"/>
    <tableColumn id="2" xr3:uid="{568457E8-91CB-4653-8F6B-51174F10FC91}" name="Baseline_Temp"/>
    <tableColumn id="3" xr3:uid="{ACFB8A3D-39B9-4760-9BBD-E61A238DCEA0}" name="Current Scenario_Tem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FD23AC-AFC9-46B1-A9C6-FE532503ED22}" name="Table6" displayName="Table6" ref="A2:C103" totalsRowShown="0" headerRowDxfId="0" tableBorderDxfId="4">
  <autoFilter ref="A2:C103" xr:uid="{C5FD23AC-AFC9-46B1-A9C6-FE532503ED22}"/>
  <tableColumns count="3">
    <tableColumn id="1" xr3:uid="{905D28B5-804E-4845-A5DA-5554841BBE55}" name="Year" dataDxfId="3"/>
    <tableColumn id="2" xr3:uid="{BB57359C-21C4-4C75-8823-E30C4391CF2F}" name="Baseline_Temp" dataDxfId="2"/>
    <tableColumn id="3" xr3:uid="{AF1B5969-1197-4D8E-9F57-FE3C28022B80}" name="Current Scenario_Temp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94B887-FF9D-42E7-8C13-AC26D7EB9F48}" name="Table7" displayName="Table7" ref="A2:H103" totalsRowShown="0">
  <autoFilter ref="A2:H103" xr:uid="{E194B887-FF9D-42E7-8C13-AC26D7EB9F48}"/>
  <tableColumns count="8">
    <tableColumn id="1" xr3:uid="{FAB6C843-0A9F-4E34-8C66-BE525771F398}" name="Year"/>
    <tableColumn id="2" xr3:uid="{B5DD67F9-BF55-46F5-AA1E-E97DAF997484}" name="Coal"/>
    <tableColumn id="3" xr3:uid="{4CAD16AD-517A-46B6-97BC-A47CA647A39C}" name="Current Scenario_Temp"/>
    <tableColumn id="4" xr3:uid="{65104E5B-0F23-4395-9883-96BCF828F897}" name="Column1"/>
    <tableColumn id="5" xr3:uid="{82F43AF5-1EF5-48BB-B477-5891D67AEA01}" name="10%">
      <calculatedColumnFormula>B3*1.1</calculatedColumnFormula>
    </tableColumn>
    <tableColumn id="6" xr3:uid="{FA0A6456-F2A1-4000-A58F-B0140122DFB1}" name="Temp+10%">
      <calculatedColumnFormula xml:space="preserve"> 0.0118*E3 + 1.0234</calculatedColumnFormula>
    </tableColumn>
    <tableColumn id="7" xr3:uid="{957F34E2-C1AA-4A72-9432-56EE03B14C1C}" name="-10%">
      <calculatedColumnFormula>B3*0.9</calculatedColumnFormula>
    </tableColumn>
    <tableColumn id="8" xr3:uid="{ADCE3E27-DE1C-4A77-9B92-469A62EC2D3D}" name="Temp-10%">
      <calculatedColumnFormula xml:space="preserve"> 0.0118*G3 + 1.0234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3A273-0FDA-4B20-BB22-3F31F473BA7C}" name="Table3" displayName="Table3" ref="A2:I103" totalsRowShown="0">
  <autoFilter ref="A2:I103" xr:uid="{FA23A273-0FDA-4B20-BB22-3F31F473BA7C}"/>
  <tableColumns count="9">
    <tableColumn id="1" xr3:uid="{B1AA1E6D-4DD1-4A16-B15D-56716CA17745}" name="Year"/>
    <tableColumn id="2" xr3:uid="{D4F88AEA-CB9D-4B4B-9BCD-925999210049}" name="Coal"/>
    <tableColumn id="3" xr3:uid="{5E799010-E472-446D-925F-952DBB3D4DAA}" name="Oil"/>
    <tableColumn id="4" xr3:uid="{8419140D-DC20-4B34-901B-5E36F424A0F2}" name="Gas"/>
    <tableColumn id="5" xr3:uid="{8B7F1A37-4E0F-44D2-B5F4-37E138186FC7}" name="Renewables"/>
    <tableColumn id="6" xr3:uid="{19BDB920-138D-4A59-AC5D-5171D17F6BF3}" name="Bioenergy"/>
    <tableColumn id="7" xr3:uid="{CDCD2E1A-F64D-463B-B31C-772C5CC7670C}" name="Nuclear"/>
    <tableColumn id="8" xr3:uid="{B1896ABE-0577-40A2-B83F-8FA3DF1E51C7}" name="Baseline_Temp"/>
    <tableColumn id="9" xr3:uid="{0B37A809-D1F3-40A7-86F7-4E9588BB8215}" name="Current Scenario_Te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846F15-69AD-4771-8CE4-354C82D1B6B7}">
  <we:reference id="73d20708-c99a-400a-95ae-5f6b394f4054" version="2.0.0.0" store="excatalog" storeType="excatalog"/>
  <we:alternateReferences>
    <we:reference id="WA104379190" version="2.0.0.0" store="en-US" storeType="omex"/>
  </we:alternateReferences>
  <we:properties/>
  <we:bindings>
    <we:binding id="RangeSelect" type="matrix" appref="{D7405D62-D8D2-4470-B46E-E5EB99D0EEF4}"/>
    <we:binding id="Input" type="matrix" appref="{D6C1F66A-4BDB-42EE-94EB-BF943ACCCD0E}"/>
    <we:binding id="Output" type="matrix" appref="{E0255209-7143-46F4-B3B9-8874D949E3AE}"/>
    <we:binding id="Input1" type="matrix" appref="{5B33F7B1-95CE-4322-98FA-82DBAD5D60BD}"/>
    <we:binding id="Input2" type="matrix" appref="{7ECCFC86-625A-4059-96DA-9727B6AFCB3A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679D-1280-4A30-AB28-C3C928E57D3B}">
  <dimension ref="A1:I103"/>
  <sheetViews>
    <sheetView topLeftCell="A2" zoomScale="73" workbookViewId="0">
      <selection activeCell="L18" sqref="L18"/>
    </sheetView>
  </sheetViews>
  <sheetFormatPr defaultRowHeight="14.4"/>
  <cols>
    <col min="5" max="5" width="13.21875" customWidth="1"/>
    <col min="6" max="6" width="12.33203125" customWidth="1"/>
    <col min="7" max="7" width="10.33203125" customWidth="1"/>
    <col min="8" max="8" width="17.109375" customWidth="1"/>
    <col min="9" max="9" width="24.109375" customWidth="1"/>
  </cols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2000</v>
      </c>
      <c r="B3">
        <v>110.98</v>
      </c>
      <c r="C3">
        <v>147.74</v>
      </c>
      <c r="D3">
        <v>89.16</v>
      </c>
      <c r="E3">
        <v>10.59</v>
      </c>
      <c r="F3">
        <v>40.43</v>
      </c>
      <c r="G3">
        <v>6.87</v>
      </c>
      <c r="H3">
        <v>0.78</v>
      </c>
      <c r="I3">
        <v>0.78</v>
      </c>
    </row>
    <row r="4" spans="1:9">
      <c r="A4">
        <v>2001</v>
      </c>
      <c r="B4">
        <v>113.59</v>
      </c>
      <c r="C4">
        <v>150.27000000000001</v>
      </c>
      <c r="D4">
        <v>91.78</v>
      </c>
      <c r="E4">
        <v>11.12</v>
      </c>
      <c r="F4">
        <v>41.24</v>
      </c>
      <c r="G4">
        <v>6.93</v>
      </c>
      <c r="H4">
        <v>0.82</v>
      </c>
      <c r="I4">
        <v>0.82</v>
      </c>
    </row>
    <row r="5" spans="1:9">
      <c r="A5">
        <v>2002</v>
      </c>
      <c r="B5">
        <v>116.16</v>
      </c>
      <c r="C5">
        <v>152.08000000000001</v>
      </c>
      <c r="D5">
        <v>94.05</v>
      </c>
      <c r="E5">
        <v>11.71</v>
      </c>
      <c r="F5">
        <v>41.82</v>
      </c>
      <c r="G5">
        <v>7.07</v>
      </c>
      <c r="H5">
        <v>0.85</v>
      </c>
      <c r="I5">
        <v>0.85</v>
      </c>
    </row>
    <row r="6" spans="1:9">
      <c r="A6">
        <v>2003</v>
      </c>
      <c r="B6">
        <v>118.78</v>
      </c>
      <c r="C6">
        <v>153.63</v>
      </c>
      <c r="D6">
        <v>96.24</v>
      </c>
      <c r="E6">
        <v>12.33</v>
      </c>
      <c r="F6">
        <v>42.33</v>
      </c>
      <c r="G6">
        <v>7.26</v>
      </c>
      <c r="H6">
        <v>0.87</v>
      </c>
      <c r="I6">
        <v>0.87</v>
      </c>
    </row>
    <row r="7" spans="1:9">
      <c r="A7">
        <v>2004</v>
      </c>
      <c r="B7">
        <v>121.74</v>
      </c>
      <c r="C7">
        <v>155.58000000000001</v>
      </c>
      <c r="D7">
        <v>98.79</v>
      </c>
      <c r="E7">
        <v>12.97</v>
      </c>
      <c r="F7">
        <v>42.99</v>
      </c>
      <c r="G7">
        <v>7.51</v>
      </c>
      <c r="H7">
        <v>0.88</v>
      </c>
      <c r="I7">
        <v>0.88</v>
      </c>
    </row>
    <row r="8" spans="1:9">
      <c r="A8">
        <v>2005</v>
      </c>
      <c r="B8">
        <v>125.15</v>
      </c>
      <c r="C8">
        <v>158.18</v>
      </c>
      <c r="D8">
        <v>101.88</v>
      </c>
      <c r="E8">
        <v>13.62</v>
      </c>
      <c r="F8">
        <v>43.86</v>
      </c>
      <c r="G8">
        <v>7.8</v>
      </c>
      <c r="H8">
        <v>0.89</v>
      </c>
      <c r="I8">
        <v>0.89</v>
      </c>
    </row>
    <row r="9" spans="1:9">
      <c r="A9">
        <v>2006</v>
      </c>
      <c r="B9">
        <v>128.77000000000001</v>
      </c>
      <c r="C9">
        <v>161.04</v>
      </c>
      <c r="D9">
        <v>105.26</v>
      </c>
      <c r="E9">
        <v>14.27</v>
      </c>
      <c r="F9">
        <v>44.82</v>
      </c>
      <c r="G9">
        <v>8.11</v>
      </c>
      <c r="H9">
        <v>0.9</v>
      </c>
      <c r="I9">
        <v>0.9</v>
      </c>
    </row>
    <row r="10" spans="1:9">
      <c r="A10">
        <v>2007</v>
      </c>
      <c r="B10">
        <v>132.63999999999999</v>
      </c>
      <c r="C10">
        <v>164.28</v>
      </c>
      <c r="D10">
        <v>109.05</v>
      </c>
      <c r="E10">
        <v>14.97</v>
      </c>
      <c r="F10">
        <v>45.92</v>
      </c>
      <c r="G10">
        <v>8.4499999999999993</v>
      </c>
      <c r="H10">
        <v>0.9</v>
      </c>
      <c r="I10">
        <v>0.9</v>
      </c>
    </row>
    <row r="11" spans="1:9">
      <c r="A11">
        <v>2008</v>
      </c>
      <c r="B11">
        <v>136.46</v>
      </c>
      <c r="C11">
        <v>167.49</v>
      </c>
      <c r="D11">
        <v>112.86</v>
      </c>
      <c r="E11">
        <v>15.7</v>
      </c>
      <c r="F11">
        <v>47</v>
      </c>
      <c r="G11">
        <v>8.8000000000000007</v>
      </c>
      <c r="H11">
        <v>0.91</v>
      </c>
      <c r="I11">
        <v>0.91</v>
      </c>
    </row>
    <row r="12" spans="1:9">
      <c r="A12">
        <v>2009</v>
      </c>
      <c r="B12">
        <v>139.18</v>
      </c>
      <c r="C12">
        <v>169.36</v>
      </c>
      <c r="D12">
        <v>115.5</v>
      </c>
      <c r="E12">
        <v>16.43</v>
      </c>
      <c r="F12">
        <v>47.61</v>
      </c>
      <c r="G12">
        <v>9.16</v>
      </c>
      <c r="H12">
        <v>0.93</v>
      </c>
      <c r="I12">
        <v>0.93</v>
      </c>
    </row>
    <row r="13" spans="1:9">
      <c r="A13">
        <v>2010</v>
      </c>
      <c r="B13">
        <v>140.63999999999999</v>
      </c>
      <c r="C13">
        <v>170.01</v>
      </c>
      <c r="D13">
        <v>117.01</v>
      </c>
      <c r="E13">
        <v>17.079999999999998</v>
      </c>
      <c r="F13">
        <v>47.85</v>
      </c>
      <c r="G13">
        <v>9.51</v>
      </c>
      <c r="H13">
        <v>0.95</v>
      </c>
      <c r="I13">
        <v>0.95</v>
      </c>
    </row>
    <row r="14" spans="1:9">
      <c r="A14">
        <v>2011</v>
      </c>
      <c r="B14">
        <v>143.24</v>
      </c>
      <c r="C14">
        <v>172.22</v>
      </c>
      <c r="D14">
        <v>119.74</v>
      </c>
      <c r="E14">
        <v>17.760000000000002</v>
      </c>
      <c r="F14">
        <v>48.56</v>
      </c>
      <c r="G14">
        <v>9.84</v>
      </c>
      <c r="H14">
        <v>0.98</v>
      </c>
      <c r="I14">
        <v>0.98</v>
      </c>
    </row>
    <row r="15" spans="1:9">
      <c r="A15">
        <v>2012</v>
      </c>
      <c r="B15">
        <v>145.96</v>
      </c>
      <c r="C15">
        <v>174.73</v>
      </c>
      <c r="D15">
        <v>122.63</v>
      </c>
      <c r="E15">
        <v>18.43</v>
      </c>
      <c r="F15">
        <v>49.34</v>
      </c>
      <c r="G15">
        <v>10.119999999999999</v>
      </c>
      <c r="H15">
        <v>1.01</v>
      </c>
      <c r="I15">
        <v>1.01</v>
      </c>
    </row>
    <row r="16" spans="1:9">
      <c r="A16">
        <v>2013</v>
      </c>
      <c r="B16">
        <v>148.35</v>
      </c>
      <c r="C16">
        <v>177.03</v>
      </c>
      <c r="D16">
        <v>125.38</v>
      </c>
      <c r="E16">
        <v>19.100000000000001</v>
      </c>
      <c r="F16">
        <v>50.06</v>
      </c>
      <c r="G16">
        <v>10.36</v>
      </c>
      <c r="H16">
        <v>1.04</v>
      </c>
      <c r="I16">
        <v>1.04</v>
      </c>
    </row>
    <row r="17" spans="1:9">
      <c r="A17">
        <v>2014</v>
      </c>
      <c r="B17">
        <v>150.54</v>
      </c>
      <c r="C17">
        <v>179.26</v>
      </c>
      <c r="D17">
        <v>128.15</v>
      </c>
      <c r="E17">
        <v>19.809999999999999</v>
      </c>
      <c r="F17">
        <v>50.77</v>
      </c>
      <c r="G17">
        <v>10.54</v>
      </c>
      <c r="H17">
        <v>1.08</v>
      </c>
      <c r="I17">
        <v>1.08</v>
      </c>
    </row>
    <row r="18" spans="1:9">
      <c r="A18">
        <v>2015</v>
      </c>
      <c r="B18">
        <v>152.62</v>
      </c>
      <c r="C18">
        <v>181.56</v>
      </c>
      <c r="D18">
        <v>131.01</v>
      </c>
      <c r="E18">
        <v>20.62</v>
      </c>
      <c r="F18">
        <v>51.51</v>
      </c>
      <c r="G18">
        <v>10.68</v>
      </c>
      <c r="H18">
        <v>1.1100000000000001</v>
      </c>
      <c r="I18">
        <v>1.1100000000000001</v>
      </c>
    </row>
    <row r="19" spans="1:9">
      <c r="A19">
        <v>2016</v>
      </c>
      <c r="B19">
        <v>154.25</v>
      </c>
      <c r="C19">
        <v>183.79</v>
      </c>
      <c r="D19">
        <v>133.72999999999999</v>
      </c>
      <c r="E19">
        <v>21.55</v>
      </c>
      <c r="F19">
        <v>52.24</v>
      </c>
      <c r="G19">
        <v>10.77</v>
      </c>
      <c r="H19">
        <v>1.1499999999999999</v>
      </c>
      <c r="I19">
        <v>1.1499999999999999</v>
      </c>
    </row>
    <row r="20" spans="1:9">
      <c r="A20">
        <v>2017</v>
      </c>
      <c r="B20">
        <v>155.54</v>
      </c>
      <c r="C20">
        <v>186.06</v>
      </c>
      <c r="D20">
        <v>136.4</v>
      </c>
      <c r="E20">
        <v>22.66</v>
      </c>
      <c r="F20">
        <v>53</v>
      </c>
      <c r="G20">
        <v>10.83</v>
      </c>
      <c r="H20">
        <v>1.17</v>
      </c>
      <c r="I20">
        <v>1.17</v>
      </c>
    </row>
    <row r="21" spans="1:9">
      <c r="A21">
        <v>2018</v>
      </c>
      <c r="B21">
        <v>156.78</v>
      </c>
      <c r="C21">
        <v>188.56</v>
      </c>
      <c r="D21">
        <v>139.16999999999999</v>
      </c>
      <c r="E21">
        <v>23.96</v>
      </c>
      <c r="F21">
        <v>53.83</v>
      </c>
      <c r="G21">
        <v>10.85</v>
      </c>
      <c r="H21">
        <v>1.2</v>
      </c>
      <c r="I21">
        <v>1.2</v>
      </c>
    </row>
    <row r="22" spans="1:9">
      <c r="A22">
        <v>2019</v>
      </c>
      <c r="B22">
        <v>157.69</v>
      </c>
      <c r="C22">
        <v>190.94</v>
      </c>
      <c r="D22">
        <v>141.69</v>
      </c>
      <c r="E22">
        <v>25.49</v>
      </c>
      <c r="F22">
        <v>54.62</v>
      </c>
      <c r="G22">
        <v>10.87</v>
      </c>
      <c r="H22">
        <v>1.22</v>
      </c>
      <c r="I22">
        <v>1.22</v>
      </c>
    </row>
    <row r="23" spans="1:9">
      <c r="A23">
        <v>2020</v>
      </c>
      <c r="B23">
        <v>156.86000000000001</v>
      </c>
      <c r="C23">
        <v>191.7</v>
      </c>
      <c r="D23">
        <v>142.53</v>
      </c>
      <c r="E23">
        <v>27.17</v>
      </c>
      <c r="F23">
        <v>54.86</v>
      </c>
      <c r="G23">
        <v>10.87</v>
      </c>
      <c r="H23">
        <v>1.25</v>
      </c>
      <c r="I23">
        <v>1.25</v>
      </c>
    </row>
    <row r="24" spans="1:9">
      <c r="A24">
        <v>2021</v>
      </c>
      <c r="B24">
        <v>154.19999999999999</v>
      </c>
      <c r="C24">
        <v>190.68</v>
      </c>
      <c r="D24">
        <v>141.78</v>
      </c>
      <c r="E24">
        <v>28.89</v>
      </c>
      <c r="F24">
        <v>54.59</v>
      </c>
      <c r="G24">
        <v>10.85</v>
      </c>
      <c r="H24">
        <v>1.27</v>
      </c>
      <c r="I24">
        <v>1.27</v>
      </c>
    </row>
    <row r="25" spans="1:9">
      <c r="A25">
        <v>2022</v>
      </c>
      <c r="B25">
        <v>154.32</v>
      </c>
      <c r="C25">
        <v>192.52</v>
      </c>
      <c r="D25">
        <v>143.6</v>
      </c>
      <c r="E25">
        <v>30.77</v>
      </c>
      <c r="F25">
        <v>55.21</v>
      </c>
      <c r="G25">
        <v>10.83</v>
      </c>
      <c r="H25">
        <v>1.3</v>
      </c>
      <c r="I25">
        <v>1.3</v>
      </c>
    </row>
    <row r="26" spans="1:9">
      <c r="A26">
        <v>2023</v>
      </c>
      <c r="B26">
        <v>154.75</v>
      </c>
      <c r="C26">
        <v>194.43</v>
      </c>
      <c r="D26">
        <v>145.5</v>
      </c>
      <c r="E26">
        <v>32.67</v>
      </c>
      <c r="F26">
        <v>55.83</v>
      </c>
      <c r="G26">
        <v>10.8</v>
      </c>
      <c r="H26">
        <v>1.33</v>
      </c>
      <c r="I26">
        <v>1.33</v>
      </c>
    </row>
    <row r="27" spans="1:9">
      <c r="A27">
        <v>2024</v>
      </c>
      <c r="B27">
        <v>155.11000000000001</v>
      </c>
      <c r="C27">
        <v>196.15</v>
      </c>
      <c r="D27">
        <v>147.34</v>
      </c>
      <c r="E27">
        <v>34.659999999999997</v>
      </c>
      <c r="F27">
        <v>56.4</v>
      </c>
      <c r="G27">
        <v>10.75</v>
      </c>
      <c r="H27">
        <v>1.35</v>
      </c>
      <c r="I27">
        <v>1.35</v>
      </c>
    </row>
    <row r="28" spans="1:9">
      <c r="A28">
        <v>2025</v>
      </c>
      <c r="B28">
        <v>155</v>
      </c>
      <c r="C28">
        <v>197.45</v>
      </c>
      <c r="D28">
        <v>148.82</v>
      </c>
      <c r="E28">
        <v>36.79</v>
      </c>
      <c r="F28">
        <v>56.84</v>
      </c>
      <c r="G28">
        <v>10.71</v>
      </c>
      <c r="H28">
        <v>1.38</v>
      </c>
      <c r="I28">
        <v>1.38</v>
      </c>
    </row>
    <row r="29" spans="1:9">
      <c r="A29">
        <v>2026</v>
      </c>
      <c r="B29">
        <v>149.81</v>
      </c>
      <c r="C29">
        <v>195.88</v>
      </c>
      <c r="D29">
        <v>147.88999999999999</v>
      </c>
      <c r="E29">
        <v>39.17</v>
      </c>
      <c r="F29">
        <v>57.33</v>
      </c>
      <c r="G29">
        <v>10.67</v>
      </c>
      <c r="H29">
        <v>1.4</v>
      </c>
      <c r="I29">
        <v>1.4</v>
      </c>
    </row>
    <row r="30" spans="1:9">
      <c r="A30">
        <v>2027</v>
      </c>
      <c r="B30">
        <v>142.01</v>
      </c>
      <c r="C30">
        <v>193.05</v>
      </c>
      <c r="D30">
        <v>146.12</v>
      </c>
      <c r="E30">
        <v>42.06</v>
      </c>
      <c r="F30">
        <v>58.06</v>
      </c>
      <c r="G30">
        <v>10.64</v>
      </c>
      <c r="H30">
        <v>1.43</v>
      </c>
      <c r="I30">
        <v>1.43</v>
      </c>
    </row>
    <row r="31" spans="1:9">
      <c r="A31">
        <v>2028</v>
      </c>
      <c r="B31">
        <v>134.28</v>
      </c>
      <c r="C31">
        <v>190.06</v>
      </c>
      <c r="D31">
        <v>143.88</v>
      </c>
      <c r="E31">
        <v>45.59</v>
      </c>
      <c r="F31">
        <v>58.88</v>
      </c>
      <c r="G31">
        <v>10.65</v>
      </c>
      <c r="H31">
        <v>1.45</v>
      </c>
      <c r="I31">
        <v>1.45</v>
      </c>
    </row>
    <row r="32" spans="1:9">
      <c r="A32">
        <v>2029</v>
      </c>
      <c r="B32">
        <v>126.75</v>
      </c>
      <c r="C32">
        <v>186.78</v>
      </c>
      <c r="D32">
        <v>140.9</v>
      </c>
      <c r="E32">
        <v>49.88</v>
      </c>
      <c r="F32">
        <v>59.74</v>
      </c>
      <c r="G32">
        <v>10.72</v>
      </c>
      <c r="H32">
        <v>1.48</v>
      </c>
      <c r="I32">
        <v>1.48</v>
      </c>
    </row>
    <row r="33" spans="1:9">
      <c r="A33">
        <v>2030</v>
      </c>
      <c r="B33">
        <v>119.26</v>
      </c>
      <c r="C33">
        <v>183.12</v>
      </c>
      <c r="D33">
        <v>137.07</v>
      </c>
      <c r="E33">
        <v>55.13</v>
      </c>
      <c r="F33">
        <v>60.56</v>
      </c>
      <c r="G33">
        <v>10.87</v>
      </c>
      <c r="H33">
        <v>1.5</v>
      </c>
      <c r="I33">
        <v>1.5</v>
      </c>
    </row>
    <row r="34" spans="1:9">
      <c r="A34">
        <v>2031</v>
      </c>
      <c r="B34">
        <v>111.71</v>
      </c>
      <c r="C34">
        <v>179</v>
      </c>
      <c r="D34">
        <v>132.4</v>
      </c>
      <c r="E34">
        <v>61.46</v>
      </c>
      <c r="F34">
        <v>61.29</v>
      </c>
      <c r="G34">
        <v>11.09</v>
      </c>
      <c r="H34">
        <v>1.53</v>
      </c>
      <c r="I34">
        <v>1.52</v>
      </c>
    </row>
    <row r="35" spans="1:9">
      <c r="A35">
        <v>2032</v>
      </c>
      <c r="B35">
        <v>104.07</v>
      </c>
      <c r="C35">
        <v>174.37</v>
      </c>
      <c r="D35">
        <v>126.94</v>
      </c>
      <c r="E35">
        <v>68.98</v>
      </c>
      <c r="F35">
        <v>61.86</v>
      </c>
      <c r="G35">
        <v>11.37</v>
      </c>
      <c r="H35">
        <v>1.55</v>
      </c>
      <c r="I35">
        <v>1.54</v>
      </c>
    </row>
    <row r="36" spans="1:9">
      <c r="A36">
        <v>2033</v>
      </c>
      <c r="B36">
        <v>96.41</v>
      </c>
      <c r="C36">
        <v>169.21</v>
      </c>
      <c r="D36">
        <v>120.76</v>
      </c>
      <c r="E36">
        <v>77.790000000000006</v>
      </c>
      <c r="F36">
        <v>62.2</v>
      </c>
      <c r="G36">
        <v>11.68</v>
      </c>
      <c r="H36">
        <v>1.58</v>
      </c>
      <c r="I36">
        <v>1.56</v>
      </c>
    </row>
    <row r="37" spans="1:9">
      <c r="A37">
        <v>2034</v>
      </c>
      <c r="B37">
        <v>88.86</v>
      </c>
      <c r="C37">
        <v>163.57</v>
      </c>
      <c r="D37">
        <v>114.02</v>
      </c>
      <c r="E37">
        <v>87.93</v>
      </c>
      <c r="F37">
        <v>62.31</v>
      </c>
      <c r="G37">
        <v>11.98</v>
      </c>
      <c r="H37">
        <v>1.6</v>
      </c>
      <c r="I37">
        <v>1.59</v>
      </c>
    </row>
    <row r="38" spans="1:9">
      <c r="A38">
        <v>2035</v>
      </c>
      <c r="B38">
        <v>81.56</v>
      </c>
      <c r="C38">
        <v>157.54</v>
      </c>
      <c r="D38">
        <v>106.91</v>
      </c>
      <c r="E38">
        <v>99.38</v>
      </c>
      <c r="F38">
        <v>62.19</v>
      </c>
      <c r="G38">
        <v>12.24</v>
      </c>
      <c r="H38">
        <v>1.63</v>
      </c>
      <c r="I38">
        <v>1.61</v>
      </c>
    </row>
    <row r="39" spans="1:9">
      <c r="A39">
        <v>2036</v>
      </c>
      <c r="B39">
        <v>75.39</v>
      </c>
      <c r="C39">
        <v>152.49</v>
      </c>
      <c r="D39">
        <v>100.61</v>
      </c>
      <c r="E39">
        <v>111.91</v>
      </c>
      <c r="F39">
        <v>61.86</v>
      </c>
      <c r="G39">
        <v>12.39</v>
      </c>
      <c r="H39">
        <v>1.65</v>
      </c>
      <c r="I39">
        <v>1.63</v>
      </c>
    </row>
    <row r="40" spans="1:9">
      <c r="A40">
        <v>2037</v>
      </c>
      <c r="B40">
        <v>70.25</v>
      </c>
      <c r="C40">
        <v>148.03</v>
      </c>
      <c r="D40">
        <v>95.02</v>
      </c>
      <c r="E40">
        <v>124.61</v>
      </c>
      <c r="F40">
        <v>61.39</v>
      </c>
      <c r="G40">
        <v>12.27</v>
      </c>
      <c r="H40">
        <v>1.68</v>
      </c>
      <c r="I40">
        <v>1.64</v>
      </c>
    </row>
    <row r="41" spans="1:9">
      <c r="A41">
        <v>2038</v>
      </c>
      <c r="B41">
        <v>65.8</v>
      </c>
      <c r="C41">
        <v>143.47</v>
      </c>
      <c r="D41">
        <v>90</v>
      </c>
      <c r="E41">
        <v>137.05000000000001</v>
      </c>
      <c r="F41">
        <v>60.9</v>
      </c>
      <c r="G41">
        <v>11.69</v>
      </c>
      <c r="H41">
        <v>1.71</v>
      </c>
      <c r="I41">
        <v>1.66</v>
      </c>
    </row>
    <row r="42" spans="1:9">
      <c r="A42">
        <v>2039</v>
      </c>
      <c r="B42">
        <v>62.12</v>
      </c>
      <c r="C42">
        <v>138.85</v>
      </c>
      <c r="D42">
        <v>85.78</v>
      </c>
      <c r="E42">
        <v>148.63999999999999</v>
      </c>
      <c r="F42">
        <v>60.47</v>
      </c>
      <c r="G42">
        <v>10.7</v>
      </c>
      <c r="H42">
        <v>1.73</v>
      </c>
      <c r="I42">
        <v>1.68</v>
      </c>
    </row>
    <row r="43" spans="1:9">
      <c r="A43">
        <v>2040</v>
      </c>
      <c r="B43">
        <v>59.48</v>
      </c>
      <c r="C43">
        <v>134.25</v>
      </c>
      <c r="D43">
        <v>82.72</v>
      </c>
      <c r="E43">
        <v>158.54</v>
      </c>
      <c r="F43">
        <v>60.2</v>
      </c>
      <c r="G43">
        <v>10.01</v>
      </c>
      <c r="H43">
        <v>1.76</v>
      </c>
      <c r="I43">
        <v>1.69</v>
      </c>
    </row>
    <row r="44" spans="1:9">
      <c r="A44">
        <v>2041</v>
      </c>
      <c r="B44">
        <v>57.75</v>
      </c>
      <c r="C44">
        <v>129.74</v>
      </c>
      <c r="D44">
        <v>80.77</v>
      </c>
      <c r="E44">
        <v>166.8</v>
      </c>
      <c r="F44">
        <v>60.1</v>
      </c>
      <c r="G44">
        <v>9.98</v>
      </c>
      <c r="H44">
        <v>1.78</v>
      </c>
      <c r="I44">
        <v>1.7</v>
      </c>
    </row>
    <row r="45" spans="1:9">
      <c r="A45">
        <v>2042</v>
      </c>
      <c r="B45">
        <v>56.78</v>
      </c>
      <c r="C45">
        <v>125.34</v>
      </c>
      <c r="D45">
        <v>79.87</v>
      </c>
      <c r="E45">
        <v>173.6</v>
      </c>
      <c r="F45">
        <v>60.16</v>
      </c>
      <c r="G45">
        <v>10.45</v>
      </c>
      <c r="H45">
        <v>1.81</v>
      </c>
      <c r="I45">
        <v>1.72</v>
      </c>
    </row>
    <row r="46" spans="1:9">
      <c r="A46">
        <v>2043</v>
      </c>
      <c r="B46">
        <v>56.33</v>
      </c>
      <c r="C46">
        <v>121.07</v>
      </c>
      <c r="D46">
        <v>79.83</v>
      </c>
      <c r="E46">
        <v>179.93</v>
      </c>
      <c r="F46">
        <v>60.37</v>
      </c>
      <c r="G46">
        <v>11.04</v>
      </c>
      <c r="H46">
        <v>1.83</v>
      </c>
      <c r="I46">
        <v>1.73</v>
      </c>
    </row>
    <row r="47" spans="1:9">
      <c r="A47">
        <v>2044</v>
      </c>
      <c r="B47">
        <v>55.88</v>
      </c>
      <c r="C47">
        <v>116.95</v>
      </c>
      <c r="D47">
        <v>80.11</v>
      </c>
      <c r="E47">
        <v>186.85</v>
      </c>
      <c r="F47">
        <v>60.63</v>
      </c>
      <c r="G47">
        <v>11.43</v>
      </c>
      <c r="H47">
        <v>1.86</v>
      </c>
      <c r="I47">
        <v>1.74</v>
      </c>
    </row>
    <row r="48" spans="1:9">
      <c r="A48">
        <v>2045</v>
      </c>
      <c r="B48">
        <v>55.01</v>
      </c>
      <c r="C48">
        <v>112.94</v>
      </c>
      <c r="D48">
        <v>80.150000000000006</v>
      </c>
      <c r="E48">
        <v>194.55</v>
      </c>
      <c r="F48">
        <v>60.81</v>
      </c>
      <c r="G48">
        <v>11.58</v>
      </c>
      <c r="H48">
        <v>1.89</v>
      </c>
      <c r="I48">
        <v>1.75</v>
      </c>
    </row>
    <row r="49" spans="1:9">
      <c r="A49">
        <v>2046</v>
      </c>
      <c r="B49">
        <v>53.7</v>
      </c>
      <c r="C49">
        <v>109.04</v>
      </c>
      <c r="D49">
        <v>79.77</v>
      </c>
      <c r="E49">
        <v>202.42</v>
      </c>
      <c r="F49">
        <v>60.83</v>
      </c>
      <c r="G49">
        <v>11.6</v>
      </c>
      <c r="H49">
        <v>1.91</v>
      </c>
      <c r="I49">
        <v>1.76</v>
      </c>
    </row>
    <row r="50" spans="1:9">
      <c r="A50">
        <v>2047</v>
      </c>
      <c r="B50">
        <v>52.2</v>
      </c>
      <c r="C50">
        <v>105.28</v>
      </c>
      <c r="D50">
        <v>79.16</v>
      </c>
      <c r="E50">
        <v>209.73</v>
      </c>
      <c r="F50">
        <v>60.74</v>
      </c>
      <c r="G50">
        <v>11.59</v>
      </c>
      <c r="H50">
        <v>1.94</v>
      </c>
      <c r="I50">
        <v>1.77</v>
      </c>
    </row>
    <row r="51" spans="1:9">
      <c r="A51">
        <v>2048</v>
      </c>
      <c r="B51">
        <v>50.81</v>
      </c>
      <c r="C51">
        <v>101.66</v>
      </c>
      <c r="D51">
        <v>78.61</v>
      </c>
      <c r="E51">
        <v>216.11</v>
      </c>
      <c r="F51">
        <v>60.57</v>
      </c>
      <c r="G51">
        <v>11.63</v>
      </c>
      <c r="H51">
        <v>1.97</v>
      </c>
      <c r="I51">
        <v>1.78</v>
      </c>
    </row>
    <row r="52" spans="1:9">
      <c r="A52">
        <v>2049</v>
      </c>
      <c r="B52">
        <v>49.69</v>
      </c>
      <c r="C52">
        <v>98.2</v>
      </c>
      <c r="D52">
        <v>78.28</v>
      </c>
      <c r="E52">
        <v>221.63</v>
      </c>
      <c r="F52">
        <v>60.38</v>
      </c>
      <c r="G52">
        <v>11.76</v>
      </c>
      <c r="H52">
        <v>1.99</v>
      </c>
      <c r="I52">
        <v>1.79</v>
      </c>
    </row>
    <row r="53" spans="1:9">
      <c r="A53">
        <v>2050</v>
      </c>
      <c r="B53">
        <v>48.86</v>
      </c>
      <c r="C53">
        <v>94.89</v>
      </c>
      <c r="D53">
        <v>78.13</v>
      </c>
      <c r="E53">
        <v>226.53</v>
      </c>
      <c r="F53">
        <v>60.16</v>
      </c>
      <c r="G53">
        <v>11.97</v>
      </c>
      <c r="H53">
        <v>2.02</v>
      </c>
      <c r="I53">
        <v>1.8</v>
      </c>
    </row>
    <row r="54" spans="1:9">
      <c r="A54">
        <v>2051</v>
      </c>
      <c r="B54">
        <v>48.24</v>
      </c>
      <c r="C54">
        <v>91.72</v>
      </c>
      <c r="D54">
        <v>77.97</v>
      </c>
      <c r="E54">
        <v>231.08</v>
      </c>
      <c r="F54">
        <v>59.92</v>
      </c>
      <c r="G54">
        <v>12.24</v>
      </c>
      <c r="H54">
        <v>2.04</v>
      </c>
      <c r="I54">
        <v>1.81</v>
      </c>
    </row>
    <row r="55" spans="1:9">
      <c r="A55">
        <v>2052</v>
      </c>
      <c r="B55">
        <v>47.71</v>
      </c>
      <c r="C55">
        <v>88.68</v>
      </c>
      <c r="D55">
        <v>77.58</v>
      </c>
      <c r="E55">
        <v>235.4</v>
      </c>
      <c r="F55">
        <v>59.63</v>
      </c>
      <c r="G55">
        <v>12.53</v>
      </c>
      <c r="H55">
        <v>2.0699999999999998</v>
      </c>
      <c r="I55">
        <v>1.81</v>
      </c>
    </row>
    <row r="56" spans="1:9">
      <c r="A56">
        <v>2053</v>
      </c>
      <c r="B56">
        <v>47.19</v>
      </c>
      <c r="C56">
        <v>85.77</v>
      </c>
      <c r="D56">
        <v>76.84</v>
      </c>
      <c r="E56">
        <v>239.52</v>
      </c>
      <c r="F56">
        <v>59.27</v>
      </c>
      <c r="G56">
        <v>12.84</v>
      </c>
      <c r="H56">
        <v>2.09</v>
      </c>
      <c r="I56">
        <v>1.82</v>
      </c>
    </row>
    <row r="57" spans="1:9">
      <c r="A57">
        <v>2054</v>
      </c>
      <c r="B57">
        <v>46.63</v>
      </c>
      <c r="C57">
        <v>82.97</v>
      </c>
      <c r="D57">
        <v>75.819999999999993</v>
      </c>
      <c r="E57">
        <v>243.4</v>
      </c>
      <c r="F57">
        <v>58.87</v>
      </c>
      <c r="G57">
        <v>13.14</v>
      </c>
      <c r="H57">
        <v>2.12</v>
      </c>
      <c r="I57">
        <v>1.82</v>
      </c>
    </row>
    <row r="58" spans="1:9">
      <c r="A58">
        <v>2055</v>
      </c>
      <c r="B58">
        <v>46</v>
      </c>
      <c r="C58">
        <v>80.27</v>
      </c>
      <c r="D58">
        <v>74.62</v>
      </c>
      <c r="E58">
        <v>247.01</v>
      </c>
      <c r="F58">
        <v>58.42</v>
      </c>
      <c r="G58">
        <v>13.41</v>
      </c>
      <c r="H58">
        <v>2.14</v>
      </c>
      <c r="I58">
        <v>1.83</v>
      </c>
    </row>
    <row r="59" spans="1:9">
      <c r="A59">
        <v>2056</v>
      </c>
      <c r="B59">
        <v>45.32</v>
      </c>
      <c r="C59">
        <v>77.680000000000007</v>
      </c>
      <c r="D59">
        <v>73.39</v>
      </c>
      <c r="E59">
        <v>250.36</v>
      </c>
      <c r="F59">
        <v>57.96</v>
      </c>
      <c r="G59">
        <v>13.64</v>
      </c>
      <c r="H59">
        <v>2.17</v>
      </c>
      <c r="I59">
        <v>1.84</v>
      </c>
    </row>
    <row r="60" spans="1:9">
      <c r="A60">
        <v>2057</v>
      </c>
      <c r="B60">
        <v>44.61</v>
      </c>
      <c r="C60">
        <v>75.19</v>
      </c>
      <c r="D60">
        <v>72.22</v>
      </c>
      <c r="E60">
        <v>253.44</v>
      </c>
      <c r="F60">
        <v>57.49</v>
      </c>
      <c r="G60">
        <v>13.85</v>
      </c>
      <c r="H60">
        <v>2.2000000000000002</v>
      </c>
      <c r="I60">
        <v>1.84</v>
      </c>
    </row>
    <row r="61" spans="1:9">
      <c r="A61">
        <v>2058</v>
      </c>
      <c r="B61">
        <v>43.9</v>
      </c>
      <c r="C61">
        <v>72.8</v>
      </c>
      <c r="D61">
        <v>71.17</v>
      </c>
      <c r="E61">
        <v>256.31</v>
      </c>
      <c r="F61">
        <v>57.02</v>
      </c>
      <c r="G61">
        <v>14.02</v>
      </c>
      <c r="H61">
        <v>2.2200000000000002</v>
      </c>
      <c r="I61">
        <v>1.85</v>
      </c>
    </row>
    <row r="62" spans="1:9">
      <c r="A62">
        <v>2059</v>
      </c>
      <c r="B62">
        <v>43.2</v>
      </c>
      <c r="C62">
        <v>70.489999999999995</v>
      </c>
      <c r="D62">
        <v>70.25</v>
      </c>
      <c r="E62">
        <v>259.01</v>
      </c>
      <c r="F62">
        <v>56.57</v>
      </c>
      <c r="G62">
        <v>14.17</v>
      </c>
      <c r="H62">
        <v>2.25</v>
      </c>
      <c r="I62">
        <v>1.85</v>
      </c>
    </row>
    <row r="63" spans="1:9">
      <c r="A63">
        <v>2060</v>
      </c>
      <c r="B63">
        <v>42.51</v>
      </c>
      <c r="C63">
        <v>68.28</v>
      </c>
      <c r="D63">
        <v>69.45</v>
      </c>
      <c r="E63">
        <v>261.57</v>
      </c>
      <c r="F63">
        <v>56.12</v>
      </c>
      <c r="G63">
        <v>14.28</v>
      </c>
      <c r="H63">
        <v>2.27</v>
      </c>
      <c r="I63">
        <v>1.85</v>
      </c>
    </row>
    <row r="64" spans="1:9">
      <c r="A64">
        <v>2061</v>
      </c>
      <c r="B64">
        <v>41.84</v>
      </c>
      <c r="C64">
        <v>66.14</v>
      </c>
      <c r="D64">
        <v>68.72</v>
      </c>
      <c r="E64">
        <v>264</v>
      </c>
      <c r="F64">
        <v>55.68</v>
      </c>
      <c r="G64">
        <v>14.37</v>
      </c>
      <c r="H64">
        <v>2.2999999999999998</v>
      </c>
      <c r="I64">
        <v>1.86</v>
      </c>
    </row>
    <row r="65" spans="1:9">
      <c r="A65">
        <v>2062</v>
      </c>
      <c r="B65">
        <v>41.17</v>
      </c>
      <c r="C65">
        <v>64.08</v>
      </c>
      <c r="D65">
        <v>68.03</v>
      </c>
      <c r="E65">
        <v>266.31</v>
      </c>
      <c r="F65">
        <v>55.24</v>
      </c>
      <c r="G65">
        <v>14.41</v>
      </c>
      <c r="H65">
        <v>2.3199999999999998</v>
      </c>
      <c r="I65">
        <v>1.86</v>
      </c>
    </row>
    <row r="66" spans="1:9">
      <c r="A66">
        <v>2063</v>
      </c>
      <c r="B66">
        <v>40.520000000000003</v>
      </c>
      <c r="C66">
        <v>62.11</v>
      </c>
      <c r="D66">
        <v>67.37</v>
      </c>
      <c r="E66">
        <v>268.49</v>
      </c>
      <c r="F66">
        <v>54.8</v>
      </c>
      <c r="G66">
        <v>14.42</v>
      </c>
      <c r="H66">
        <v>2.35</v>
      </c>
      <c r="I66">
        <v>1.87</v>
      </c>
    </row>
    <row r="67" spans="1:9">
      <c r="A67">
        <v>2064</v>
      </c>
      <c r="B67">
        <v>39.89</v>
      </c>
      <c r="C67">
        <v>60.22</v>
      </c>
      <c r="D67">
        <v>66.739999999999995</v>
      </c>
      <c r="E67">
        <v>270.55</v>
      </c>
      <c r="F67">
        <v>54.36</v>
      </c>
      <c r="G67">
        <v>14.39</v>
      </c>
      <c r="H67">
        <v>2.37</v>
      </c>
      <c r="I67">
        <v>1.87</v>
      </c>
    </row>
    <row r="68" spans="1:9">
      <c r="A68">
        <v>2065</v>
      </c>
      <c r="B68">
        <v>39.299999999999997</v>
      </c>
      <c r="C68">
        <v>58.41</v>
      </c>
      <c r="D68">
        <v>66.11</v>
      </c>
      <c r="E68">
        <v>272.51</v>
      </c>
      <c r="F68">
        <v>53.92</v>
      </c>
      <c r="G68">
        <v>14.33</v>
      </c>
      <c r="H68">
        <v>2.4</v>
      </c>
      <c r="I68">
        <v>1.88</v>
      </c>
    </row>
    <row r="69" spans="1:9">
      <c r="A69">
        <v>2066</v>
      </c>
      <c r="B69">
        <v>38.75</v>
      </c>
      <c r="C69">
        <v>56.7</v>
      </c>
      <c r="D69">
        <v>65.52</v>
      </c>
      <c r="E69">
        <v>274.39999999999998</v>
      </c>
      <c r="F69">
        <v>53.49</v>
      </c>
      <c r="G69">
        <v>14.25</v>
      </c>
      <c r="H69">
        <v>2.4300000000000002</v>
      </c>
      <c r="I69">
        <v>1.88</v>
      </c>
    </row>
    <row r="70" spans="1:9">
      <c r="A70">
        <v>2067</v>
      </c>
      <c r="B70">
        <v>38.24</v>
      </c>
      <c r="C70">
        <v>55.06</v>
      </c>
      <c r="D70">
        <v>64.95</v>
      </c>
      <c r="E70">
        <v>276.23</v>
      </c>
      <c r="F70">
        <v>53.05</v>
      </c>
      <c r="G70">
        <v>14.14</v>
      </c>
      <c r="H70">
        <v>2.4500000000000002</v>
      </c>
      <c r="I70">
        <v>1.88</v>
      </c>
    </row>
    <row r="71" spans="1:9">
      <c r="A71">
        <v>2068</v>
      </c>
      <c r="B71">
        <v>37.76</v>
      </c>
      <c r="C71">
        <v>53.5</v>
      </c>
      <c r="D71">
        <v>64.41</v>
      </c>
      <c r="E71">
        <v>277.99</v>
      </c>
      <c r="F71">
        <v>52.63</v>
      </c>
      <c r="G71">
        <v>14.02</v>
      </c>
      <c r="H71">
        <v>2.48</v>
      </c>
      <c r="I71">
        <v>1.89</v>
      </c>
    </row>
    <row r="72" spans="1:9">
      <c r="A72">
        <v>2069</v>
      </c>
      <c r="B72">
        <v>37.32</v>
      </c>
      <c r="C72">
        <v>52.03</v>
      </c>
      <c r="D72">
        <v>63.91</v>
      </c>
      <c r="E72">
        <v>279.70999999999998</v>
      </c>
      <c r="F72">
        <v>52.2</v>
      </c>
      <c r="G72">
        <v>13.9</v>
      </c>
      <c r="H72">
        <v>2.5099999999999998</v>
      </c>
      <c r="I72">
        <v>1.89</v>
      </c>
    </row>
    <row r="73" spans="1:9">
      <c r="A73">
        <v>2070</v>
      </c>
      <c r="B73">
        <v>36.9</v>
      </c>
      <c r="C73">
        <v>50.62</v>
      </c>
      <c r="D73">
        <v>63.43</v>
      </c>
      <c r="E73">
        <v>281.37</v>
      </c>
      <c r="F73">
        <v>51.79</v>
      </c>
      <c r="G73">
        <v>13.76</v>
      </c>
      <c r="H73">
        <v>2.5299999999999998</v>
      </c>
      <c r="I73">
        <v>1.9</v>
      </c>
    </row>
    <row r="74" spans="1:9">
      <c r="A74">
        <v>2071</v>
      </c>
      <c r="B74">
        <v>36.49</v>
      </c>
      <c r="C74">
        <v>49.28</v>
      </c>
      <c r="D74">
        <v>63</v>
      </c>
      <c r="E74">
        <v>282.97000000000003</v>
      </c>
      <c r="F74">
        <v>51.38</v>
      </c>
      <c r="G74">
        <v>13.63</v>
      </c>
      <c r="H74">
        <v>2.56</v>
      </c>
      <c r="I74">
        <v>1.9</v>
      </c>
    </row>
    <row r="75" spans="1:9">
      <c r="A75">
        <v>2072</v>
      </c>
      <c r="B75">
        <v>36.090000000000003</v>
      </c>
      <c r="C75">
        <v>48.01</v>
      </c>
      <c r="D75">
        <v>62.59</v>
      </c>
      <c r="E75">
        <v>284.52</v>
      </c>
      <c r="F75">
        <v>50.98</v>
      </c>
      <c r="G75">
        <v>13.49</v>
      </c>
      <c r="H75">
        <v>2.58</v>
      </c>
      <c r="I75">
        <v>1.9</v>
      </c>
    </row>
    <row r="76" spans="1:9">
      <c r="A76">
        <v>2073</v>
      </c>
      <c r="B76">
        <v>35.700000000000003</v>
      </c>
      <c r="C76">
        <v>46.8</v>
      </c>
      <c r="D76">
        <v>62.23</v>
      </c>
      <c r="E76">
        <v>286.02</v>
      </c>
      <c r="F76">
        <v>50.6</v>
      </c>
      <c r="G76">
        <v>13.36</v>
      </c>
      <c r="H76">
        <v>2.61</v>
      </c>
      <c r="I76">
        <v>1.91</v>
      </c>
    </row>
    <row r="77" spans="1:9">
      <c r="A77">
        <v>2074</v>
      </c>
      <c r="B77">
        <v>35.33</v>
      </c>
      <c r="C77">
        <v>45.66</v>
      </c>
      <c r="D77">
        <v>61.89</v>
      </c>
      <c r="E77">
        <v>287.45999999999998</v>
      </c>
      <c r="F77">
        <v>50.22</v>
      </c>
      <c r="G77">
        <v>13.24</v>
      </c>
      <c r="H77">
        <v>2.64</v>
      </c>
      <c r="I77">
        <v>1.91</v>
      </c>
    </row>
    <row r="78" spans="1:9">
      <c r="A78">
        <v>2075</v>
      </c>
      <c r="B78">
        <v>34.96</v>
      </c>
      <c r="C78">
        <v>44.56</v>
      </c>
      <c r="D78">
        <v>61.59</v>
      </c>
      <c r="E78">
        <v>288.85000000000002</v>
      </c>
      <c r="F78">
        <v>49.86</v>
      </c>
      <c r="G78">
        <v>13.12</v>
      </c>
      <c r="H78">
        <v>2.66</v>
      </c>
      <c r="I78">
        <v>1.91</v>
      </c>
    </row>
    <row r="79" spans="1:9">
      <c r="A79">
        <v>2076</v>
      </c>
      <c r="B79">
        <v>34.619999999999997</v>
      </c>
      <c r="C79">
        <v>43.53</v>
      </c>
      <c r="D79">
        <v>61.31</v>
      </c>
      <c r="E79">
        <v>290.19</v>
      </c>
      <c r="F79">
        <v>49.51</v>
      </c>
      <c r="G79">
        <v>13.01</v>
      </c>
      <c r="H79">
        <v>2.69</v>
      </c>
      <c r="I79">
        <v>1.91</v>
      </c>
    </row>
    <row r="80" spans="1:9">
      <c r="A80">
        <v>2077</v>
      </c>
      <c r="B80">
        <v>34.29</v>
      </c>
      <c r="C80">
        <v>42.54</v>
      </c>
      <c r="D80">
        <v>61.06</v>
      </c>
      <c r="E80">
        <v>291.45999999999998</v>
      </c>
      <c r="F80">
        <v>49.17</v>
      </c>
      <c r="G80">
        <v>12.91</v>
      </c>
      <c r="H80">
        <v>2.71</v>
      </c>
      <c r="I80">
        <v>1.92</v>
      </c>
    </row>
    <row r="81" spans="1:9">
      <c r="A81">
        <v>2078</v>
      </c>
      <c r="B81">
        <v>33.979999999999997</v>
      </c>
      <c r="C81">
        <v>41.59</v>
      </c>
      <c r="D81">
        <v>60.83</v>
      </c>
      <c r="E81">
        <v>292.68</v>
      </c>
      <c r="F81">
        <v>48.84</v>
      </c>
      <c r="G81">
        <v>12.82</v>
      </c>
      <c r="H81">
        <v>2.74</v>
      </c>
      <c r="I81">
        <v>1.92</v>
      </c>
    </row>
    <row r="82" spans="1:9">
      <c r="A82">
        <v>2079</v>
      </c>
      <c r="B82">
        <v>33.700000000000003</v>
      </c>
      <c r="C82">
        <v>40.69</v>
      </c>
      <c r="D82">
        <v>60.62</v>
      </c>
      <c r="E82">
        <v>293.85000000000002</v>
      </c>
      <c r="F82">
        <v>48.53</v>
      </c>
      <c r="G82">
        <v>12.74</v>
      </c>
      <c r="H82">
        <v>2.77</v>
      </c>
      <c r="I82">
        <v>1.93</v>
      </c>
    </row>
    <row r="83" spans="1:9">
      <c r="A83">
        <v>2080</v>
      </c>
      <c r="B83">
        <v>33.44</v>
      </c>
      <c r="C83">
        <v>39.840000000000003</v>
      </c>
      <c r="D83">
        <v>60.43</v>
      </c>
      <c r="E83">
        <v>294.95999999999998</v>
      </c>
      <c r="F83">
        <v>48.22</v>
      </c>
      <c r="G83">
        <v>12.66</v>
      </c>
      <c r="H83">
        <v>2.8</v>
      </c>
      <c r="I83">
        <v>1.93</v>
      </c>
    </row>
    <row r="84" spans="1:9">
      <c r="A84">
        <v>2081</v>
      </c>
      <c r="B84">
        <v>33.21</v>
      </c>
      <c r="C84">
        <v>39.020000000000003</v>
      </c>
      <c r="D84">
        <v>60.25</v>
      </c>
      <c r="E84">
        <v>296.02999999999997</v>
      </c>
      <c r="F84">
        <v>47.93</v>
      </c>
      <c r="G84">
        <v>12.59</v>
      </c>
      <c r="H84">
        <v>2.82</v>
      </c>
      <c r="I84">
        <v>1.94</v>
      </c>
    </row>
    <row r="85" spans="1:9">
      <c r="A85">
        <v>2082</v>
      </c>
      <c r="B85">
        <v>33.01</v>
      </c>
      <c r="C85">
        <v>38.229999999999997</v>
      </c>
      <c r="D85">
        <v>60.09</v>
      </c>
      <c r="E85">
        <v>297.06</v>
      </c>
      <c r="F85">
        <v>47.66</v>
      </c>
      <c r="G85">
        <v>12.53</v>
      </c>
      <c r="H85">
        <v>2.85</v>
      </c>
      <c r="I85">
        <v>1.94</v>
      </c>
    </row>
    <row r="86" spans="1:9">
      <c r="A86">
        <v>2083</v>
      </c>
      <c r="B86">
        <v>32.82</v>
      </c>
      <c r="C86">
        <v>37.49</v>
      </c>
      <c r="D86">
        <v>59.95</v>
      </c>
      <c r="E86">
        <v>298.08</v>
      </c>
      <c r="F86">
        <v>47.4</v>
      </c>
      <c r="G86">
        <v>12.47</v>
      </c>
      <c r="H86">
        <v>2.88</v>
      </c>
      <c r="I86">
        <v>1.94</v>
      </c>
    </row>
    <row r="87" spans="1:9">
      <c r="A87">
        <v>2084</v>
      </c>
      <c r="B87">
        <v>32.659999999999997</v>
      </c>
      <c r="C87">
        <v>36.770000000000003</v>
      </c>
      <c r="D87">
        <v>59.83</v>
      </c>
      <c r="E87">
        <v>299.07</v>
      </c>
      <c r="F87">
        <v>47.15</v>
      </c>
      <c r="G87">
        <v>12.42</v>
      </c>
      <c r="H87">
        <v>2.9</v>
      </c>
      <c r="I87">
        <v>1.95</v>
      </c>
    </row>
    <row r="88" spans="1:9">
      <c r="A88">
        <v>2085</v>
      </c>
      <c r="B88">
        <v>32.520000000000003</v>
      </c>
      <c r="C88">
        <v>36.08</v>
      </c>
      <c r="D88">
        <v>59.72</v>
      </c>
      <c r="E88">
        <v>300.06</v>
      </c>
      <c r="F88">
        <v>46.91</v>
      </c>
      <c r="G88">
        <v>12.37</v>
      </c>
      <c r="H88">
        <v>2.93</v>
      </c>
      <c r="I88">
        <v>1.95</v>
      </c>
    </row>
    <row r="89" spans="1:9">
      <c r="A89">
        <v>2086</v>
      </c>
      <c r="B89">
        <v>32.380000000000003</v>
      </c>
      <c r="C89">
        <v>35.409999999999997</v>
      </c>
      <c r="D89">
        <v>59.62</v>
      </c>
      <c r="E89">
        <v>301.04000000000002</v>
      </c>
      <c r="F89">
        <v>46.69</v>
      </c>
      <c r="G89">
        <v>12.33</v>
      </c>
      <c r="H89">
        <v>2.95</v>
      </c>
      <c r="I89">
        <v>1.95</v>
      </c>
    </row>
    <row r="90" spans="1:9">
      <c r="A90">
        <v>2087</v>
      </c>
      <c r="B90">
        <v>32.26</v>
      </c>
      <c r="C90">
        <v>34.770000000000003</v>
      </c>
      <c r="D90">
        <v>59.54</v>
      </c>
      <c r="E90">
        <v>302.01</v>
      </c>
      <c r="F90">
        <v>46.49</v>
      </c>
      <c r="G90">
        <v>12.29</v>
      </c>
      <c r="H90">
        <v>2.98</v>
      </c>
      <c r="I90">
        <v>1.96</v>
      </c>
    </row>
    <row r="91" spans="1:9">
      <c r="A91">
        <v>2088</v>
      </c>
      <c r="B91">
        <v>32.15</v>
      </c>
      <c r="C91">
        <v>34.17</v>
      </c>
      <c r="D91">
        <v>59.47</v>
      </c>
      <c r="E91">
        <v>302.98</v>
      </c>
      <c r="F91">
        <v>46.29</v>
      </c>
      <c r="G91">
        <v>12.25</v>
      </c>
      <c r="H91">
        <v>3.01</v>
      </c>
      <c r="I91">
        <v>1.96</v>
      </c>
    </row>
    <row r="92" spans="1:9">
      <c r="A92">
        <v>2089</v>
      </c>
      <c r="B92">
        <v>32.049999999999997</v>
      </c>
      <c r="C92">
        <v>33.58</v>
      </c>
      <c r="D92">
        <v>59.41</v>
      </c>
      <c r="E92">
        <v>303.95999999999998</v>
      </c>
      <c r="F92">
        <v>46.11</v>
      </c>
      <c r="G92">
        <v>12.22</v>
      </c>
      <c r="H92">
        <v>3.04</v>
      </c>
      <c r="I92">
        <v>1.96</v>
      </c>
    </row>
    <row r="93" spans="1:9">
      <c r="A93">
        <v>2090</v>
      </c>
      <c r="B93">
        <v>31.96</v>
      </c>
      <c r="C93">
        <v>33.03</v>
      </c>
      <c r="D93">
        <v>59.36</v>
      </c>
      <c r="E93">
        <v>304.94</v>
      </c>
      <c r="F93">
        <v>45.94</v>
      </c>
      <c r="G93">
        <v>12.19</v>
      </c>
      <c r="H93">
        <v>3.06</v>
      </c>
      <c r="I93">
        <v>1.97</v>
      </c>
    </row>
    <row r="94" spans="1:9">
      <c r="A94">
        <v>2091</v>
      </c>
      <c r="B94">
        <v>31.88</v>
      </c>
      <c r="C94">
        <v>32.5</v>
      </c>
      <c r="D94">
        <v>59.33</v>
      </c>
      <c r="E94">
        <v>305.93</v>
      </c>
      <c r="F94">
        <v>45.79</v>
      </c>
      <c r="G94">
        <v>12.17</v>
      </c>
      <c r="H94">
        <v>3.09</v>
      </c>
      <c r="I94">
        <v>1.97</v>
      </c>
    </row>
    <row r="95" spans="1:9">
      <c r="A95">
        <v>2092</v>
      </c>
      <c r="B95">
        <v>31.81</v>
      </c>
      <c r="C95">
        <v>32</v>
      </c>
      <c r="D95">
        <v>59.31</v>
      </c>
      <c r="E95">
        <v>306.94</v>
      </c>
      <c r="F95">
        <v>45.64</v>
      </c>
      <c r="G95">
        <v>12.15</v>
      </c>
      <c r="H95">
        <v>3.12</v>
      </c>
      <c r="I95">
        <v>1.98</v>
      </c>
    </row>
    <row r="96" spans="1:9">
      <c r="A96">
        <v>2093</v>
      </c>
      <c r="B96">
        <v>31.75</v>
      </c>
      <c r="C96">
        <v>31.53</v>
      </c>
      <c r="D96">
        <v>59.3</v>
      </c>
      <c r="E96">
        <v>307.97000000000003</v>
      </c>
      <c r="F96">
        <v>45.52</v>
      </c>
      <c r="G96">
        <v>12.14</v>
      </c>
      <c r="H96">
        <v>3.14</v>
      </c>
      <c r="I96">
        <v>1.98</v>
      </c>
    </row>
    <row r="97" spans="1:9">
      <c r="A97">
        <v>2094</v>
      </c>
      <c r="B97">
        <v>31.7</v>
      </c>
      <c r="C97">
        <v>31.07</v>
      </c>
      <c r="D97">
        <v>59.31</v>
      </c>
      <c r="E97">
        <v>309.02999999999997</v>
      </c>
      <c r="F97">
        <v>45.4</v>
      </c>
      <c r="G97">
        <v>12.13</v>
      </c>
      <c r="H97">
        <v>3.17</v>
      </c>
      <c r="I97">
        <v>1.98</v>
      </c>
    </row>
    <row r="98" spans="1:9">
      <c r="A98">
        <v>2095</v>
      </c>
      <c r="B98">
        <v>31.66</v>
      </c>
      <c r="C98">
        <v>30.65</v>
      </c>
      <c r="D98">
        <v>59.32</v>
      </c>
      <c r="E98">
        <v>310.11</v>
      </c>
      <c r="F98">
        <v>45.3</v>
      </c>
      <c r="G98">
        <v>12.12</v>
      </c>
      <c r="H98">
        <v>3.19</v>
      </c>
      <c r="I98">
        <v>1.99</v>
      </c>
    </row>
    <row r="99" spans="1:9">
      <c r="A99">
        <v>2096</v>
      </c>
      <c r="B99">
        <v>31.63</v>
      </c>
      <c r="C99">
        <v>30.24</v>
      </c>
      <c r="D99">
        <v>59.35</v>
      </c>
      <c r="E99">
        <v>311.20999999999998</v>
      </c>
      <c r="F99">
        <v>45.21</v>
      </c>
      <c r="G99">
        <v>12.12</v>
      </c>
      <c r="H99">
        <v>3.22</v>
      </c>
      <c r="I99">
        <v>1.99</v>
      </c>
    </row>
    <row r="100" spans="1:9">
      <c r="A100">
        <v>2097</v>
      </c>
      <c r="B100">
        <v>31.6</v>
      </c>
      <c r="C100">
        <v>29.86</v>
      </c>
      <c r="D100">
        <v>59.38</v>
      </c>
      <c r="E100">
        <v>312.33999999999997</v>
      </c>
      <c r="F100">
        <v>45.13</v>
      </c>
      <c r="G100">
        <v>12.13</v>
      </c>
      <c r="H100">
        <v>3.24</v>
      </c>
      <c r="I100">
        <v>1.99</v>
      </c>
    </row>
    <row r="101" spans="1:9">
      <c r="A101">
        <v>2098</v>
      </c>
      <c r="B101">
        <v>31.59</v>
      </c>
      <c r="C101">
        <v>29.49</v>
      </c>
      <c r="D101">
        <v>59.42</v>
      </c>
      <c r="E101">
        <v>313.5</v>
      </c>
      <c r="F101">
        <v>45.06</v>
      </c>
      <c r="G101">
        <v>12.13</v>
      </c>
      <c r="H101">
        <v>3.27</v>
      </c>
      <c r="I101">
        <v>1.99</v>
      </c>
    </row>
    <row r="102" spans="1:9">
      <c r="A102">
        <v>2099</v>
      </c>
      <c r="B102">
        <v>31.58</v>
      </c>
      <c r="C102">
        <v>29.15</v>
      </c>
      <c r="D102">
        <v>59.46</v>
      </c>
      <c r="E102">
        <v>314.69</v>
      </c>
      <c r="F102">
        <v>45.01</v>
      </c>
      <c r="G102">
        <v>12.14</v>
      </c>
      <c r="H102">
        <v>3.29</v>
      </c>
      <c r="I102">
        <v>2</v>
      </c>
    </row>
    <row r="103" spans="1:9">
      <c r="A103">
        <v>2100</v>
      </c>
      <c r="B103">
        <v>31.57</v>
      </c>
      <c r="C103">
        <v>28.83</v>
      </c>
      <c r="D103">
        <v>59.51</v>
      </c>
      <c r="E103">
        <v>315.89999999999998</v>
      </c>
      <c r="F103">
        <v>44.96</v>
      </c>
      <c r="G103">
        <v>12.15</v>
      </c>
      <c r="H103">
        <v>3.31</v>
      </c>
      <c r="I10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DBB2-50C3-42DE-AC5B-64C43C2CC3E4}">
  <dimension ref="A1:O110"/>
  <sheetViews>
    <sheetView zoomScale="41" workbookViewId="0">
      <selection activeCell="G111" sqref="G111"/>
    </sheetView>
  </sheetViews>
  <sheetFormatPr defaultRowHeight="14.4"/>
  <cols>
    <col min="1" max="1" width="17.88671875" bestFit="1" customWidth="1"/>
    <col min="5" max="5" width="12.88671875" customWidth="1"/>
    <col min="6" max="6" width="11" customWidth="1"/>
    <col min="7" max="7" width="9.44140625" customWidth="1"/>
    <col min="13" max="13" width="12.88671875" customWidth="1"/>
    <col min="14" max="14" width="11" customWidth="1"/>
    <col min="15" max="15" width="9.44140625" customWidth="1"/>
  </cols>
  <sheetData>
    <row r="1" spans="1:15">
      <c r="A1" t="s">
        <v>10</v>
      </c>
      <c r="J1" t="s">
        <v>11</v>
      </c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63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5">
      <c r="A3">
        <v>2000</v>
      </c>
      <c r="B3">
        <v>110.98</v>
      </c>
      <c r="C3">
        <v>147.74</v>
      </c>
      <c r="D3">
        <v>89.16</v>
      </c>
      <c r="E3">
        <v>10.59</v>
      </c>
      <c r="F3">
        <v>40.43</v>
      </c>
      <c r="G3">
        <v>6.87</v>
      </c>
      <c r="H3">
        <v>0.25</v>
      </c>
      <c r="J3">
        <f>$B$106-Table1[[#This Row],[Coal]]</f>
        <v>46.709999999999994</v>
      </c>
      <c r="K3">
        <f>$C$106-Table1[[#This Row],[Oil]]</f>
        <v>49.70999999999998</v>
      </c>
      <c r="L3">
        <f>$D$106-Table1[[#This Row],[Gas]]</f>
        <v>59.66</v>
      </c>
      <c r="M3">
        <f>$E$106-Table1[[#This Row],[Renewables]]</f>
        <v>305.31</v>
      </c>
      <c r="N3">
        <f>$F$106-Table1[[#This Row],[Bioenergy]]</f>
        <v>21.880000000000003</v>
      </c>
      <c r="O3">
        <f>$G$106-Table1[[#This Row],[Nuclear]]</f>
        <v>7.55</v>
      </c>
    </row>
    <row r="4" spans="1:15">
      <c r="A4">
        <v>2001</v>
      </c>
      <c r="B4">
        <v>113.59</v>
      </c>
      <c r="C4">
        <v>150.27000000000001</v>
      </c>
      <c r="D4">
        <v>91.78</v>
      </c>
      <c r="E4">
        <v>11.12</v>
      </c>
      <c r="F4">
        <v>41.24</v>
      </c>
      <c r="G4">
        <v>6.93</v>
      </c>
      <c r="H4">
        <v>0.25</v>
      </c>
      <c r="J4">
        <f>$B$106-Table1[[#This Row],[Coal]]</f>
        <v>44.099999999999994</v>
      </c>
      <c r="K4">
        <f>$C$106-Table1[[#This Row],[Oil]]</f>
        <v>47.179999999999978</v>
      </c>
      <c r="L4">
        <f>$D$106-Table1[[#This Row],[Gas]]</f>
        <v>57.039999999999992</v>
      </c>
      <c r="M4">
        <f>$E$106-Table1[[#This Row],[Renewables]]</f>
        <v>304.77999999999997</v>
      </c>
      <c r="N4">
        <f>$F$106-Table1[[#This Row],[Bioenergy]]</f>
        <v>21.07</v>
      </c>
      <c r="O4">
        <f>$G$106-Table1[[#This Row],[Nuclear]]</f>
        <v>7.49</v>
      </c>
    </row>
    <row r="5" spans="1:15">
      <c r="A5">
        <v>2002</v>
      </c>
      <c r="B5">
        <v>116.16</v>
      </c>
      <c r="C5">
        <v>152.08000000000001</v>
      </c>
      <c r="D5">
        <v>94.05</v>
      </c>
      <c r="E5">
        <v>11.71</v>
      </c>
      <c r="F5">
        <v>41.82</v>
      </c>
      <c r="G5">
        <v>7.07</v>
      </c>
      <c r="H5">
        <v>0.25</v>
      </c>
      <c r="J5">
        <f>$B$106-Table1[[#This Row],[Coal]]</f>
        <v>41.53</v>
      </c>
      <c r="K5">
        <f>$C$106-Table1[[#This Row],[Oil]]</f>
        <v>45.369999999999976</v>
      </c>
      <c r="L5">
        <f>$D$106-Table1[[#This Row],[Gas]]</f>
        <v>54.769999999999996</v>
      </c>
      <c r="M5">
        <f>$E$106-Table1[[#This Row],[Renewables]]</f>
        <v>304.19</v>
      </c>
      <c r="N5">
        <f>$F$106-Table1[[#This Row],[Bioenergy]]</f>
        <v>20.490000000000002</v>
      </c>
      <c r="O5">
        <f>$G$106-Table1[[#This Row],[Nuclear]]</f>
        <v>7.35</v>
      </c>
    </row>
    <row r="6" spans="1:15">
      <c r="A6">
        <v>2003</v>
      </c>
      <c r="B6">
        <v>118.78</v>
      </c>
      <c r="C6">
        <v>153.63</v>
      </c>
      <c r="D6">
        <v>96.24</v>
      </c>
      <c r="E6">
        <v>12.33</v>
      </c>
      <c r="F6">
        <v>42.33</v>
      </c>
      <c r="G6">
        <v>7.26</v>
      </c>
      <c r="H6">
        <v>0.25</v>
      </c>
      <c r="J6">
        <f>$B$106-Table1[[#This Row],[Coal]]</f>
        <v>38.909999999999997</v>
      </c>
      <c r="K6">
        <f>$C$106-Table1[[#This Row],[Oil]]</f>
        <v>43.819999999999993</v>
      </c>
      <c r="L6">
        <f>$D$106-Table1[[#This Row],[Gas]]</f>
        <v>52.58</v>
      </c>
      <c r="M6">
        <f>$E$106-Table1[[#This Row],[Renewables]]</f>
        <v>303.57</v>
      </c>
      <c r="N6">
        <f>$F$106-Table1[[#This Row],[Bioenergy]]</f>
        <v>19.980000000000004</v>
      </c>
      <c r="O6">
        <f>$G$106-Table1[[#This Row],[Nuclear]]</f>
        <v>7.16</v>
      </c>
    </row>
    <row r="7" spans="1:15">
      <c r="A7">
        <v>2004</v>
      </c>
      <c r="B7">
        <v>121.74</v>
      </c>
      <c r="C7">
        <v>155.58000000000001</v>
      </c>
      <c r="D7">
        <v>98.79</v>
      </c>
      <c r="E7">
        <v>12.97</v>
      </c>
      <c r="F7">
        <v>42.99</v>
      </c>
      <c r="G7">
        <v>7.51</v>
      </c>
      <c r="H7">
        <v>0.25</v>
      </c>
      <c r="J7">
        <f>$B$106-Table1[[#This Row],[Coal]]</f>
        <v>35.950000000000003</v>
      </c>
      <c r="K7">
        <f>$C$106-Table1[[#This Row],[Oil]]</f>
        <v>41.869999999999976</v>
      </c>
      <c r="L7">
        <f>$D$106-Table1[[#This Row],[Gas]]</f>
        <v>50.029999999999987</v>
      </c>
      <c r="M7">
        <f>$E$106-Table1[[#This Row],[Renewables]]</f>
        <v>302.92999999999995</v>
      </c>
      <c r="N7">
        <f>$F$106-Table1[[#This Row],[Bioenergy]]</f>
        <v>19.32</v>
      </c>
      <c r="O7">
        <f>$G$106-Table1[[#This Row],[Nuclear]]</f>
        <v>6.91</v>
      </c>
    </row>
    <row r="8" spans="1:15">
      <c r="A8">
        <v>2005</v>
      </c>
      <c r="B8">
        <v>125.15</v>
      </c>
      <c r="C8">
        <v>158.18</v>
      </c>
      <c r="D8">
        <v>101.88</v>
      </c>
      <c r="E8">
        <v>13.62</v>
      </c>
      <c r="F8">
        <v>43.86</v>
      </c>
      <c r="G8">
        <v>7.8</v>
      </c>
      <c r="H8">
        <v>0.25</v>
      </c>
      <c r="J8">
        <f>$B$106-Table1[[#This Row],[Coal]]</f>
        <v>32.539999999999992</v>
      </c>
      <c r="K8">
        <f>$C$106-Table1[[#This Row],[Oil]]</f>
        <v>39.269999999999982</v>
      </c>
      <c r="L8">
        <f>$D$106-Table1[[#This Row],[Gas]]</f>
        <v>46.94</v>
      </c>
      <c r="M8">
        <f>$E$106-Table1[[#This Row],[Renewables]]</f>
        <v>302.27999999999997</v>
      </c>
      <c r="N8">
        <f>$F$106-Table1[[#This Row],[Bioenergy]]</f>
        <v>18.450000000000003</v>
      </c>
      <c r="O8">
        <f>$G$106-Table1[[#This Row],[Nuclear]]</f>
        <v>6.62</v>
      </c>
    </row>
    <row r="9" spans="1:15">
      <c r="A9">
        <v>2006</v>
      </c>
      <c r="B9">
        <v>128.77000000000001</v>
      </c>
      <c r="C9">
        <v>161.04</v>
      </c>
      <c r="D9">
        <v>105.26</v>
      </c>
      <c r="E9">
        <v>14.27</v>
      </c>
      <c r="F9">
        <v>44.82</v>
      </c>
      <c r="G9">
        <v>8.11</v>
      </c>
      <c r="H9">
        <v>0.25</v>
      </c>
      <c r="J9">
        <f>$B$106-Table1[[#This Row],[Coal]]</f>
        <v>28.919999999999987</v>
      </c>
      <c r="K9">
        <f>$C$106-Table1[[#This Row],[Oil]]</f>
        <v>36.409999999999997</v>
      </c>
      <c r="L9">
        <f>$D$106-Table1[[#This Row],[Gas]]</f>
        <v>43.559999999999988</v>
      </c>
      <c r="M9">
        <f>$E$106-Table1[[#This Row],[Renewables]]</f>
        <v>301.63</v>
      </c>
      <c r="N9">
        <f>$F$106-Table1[[#This Row],[Bioenergy]]</f>
        <v>17.490000000000002</v>
      </c>
      <c r="O9">
        <f>$G$106-Table1[[#This Row],[Nuclear]]</f>
        <v>6.3100000000000005</v>
      </c>
    </row>
    <row r="10" spans="1:15">
      <c r="A10">
        <v>2007</v>
      </c>
      <c r="B10">
        <v>132.63999999999999</v>
      </c>
      <c r="C10">
        <v>164.28</v>
      </c>
      <c r="D10">
        <v>109.05</v>
      </c>
      <c r="E10">
        <v>14.97</v>
      </c>
      <c r="F10">
        <v>45.92</v>
      </c>
      <c r="G10">
        <v>8.4499999999999993</v>
      </c>
      <c r="H10">
        <v>0.25</v>
      </c>
      <c r="J10">
        <f>$B$106-Table1[[#This Row],[Coal]]</f>
        <v>25.050000000000011</v>
      </c>
      <c r="K10">
        <f>$C$106-Table1[[#This Row],[Oil]]</f>
        <v>33.169999999999987</v>
      </c>
      <c r="L10">
        <f>$D$106-Table1[[#This Row],[Gas]]</f>
        <v>39.769999999999996</v>
      </c>
      <c r="M10">
        <f>$E$106-Table1[[#This Row],[Renewables]]</f>
        <v>300.92999999999995</v>
      </c>
      <c r="N10">
        <f>$F$106-Table1[[#This Row],[Bioenergy]]</f>
        <v>16.39</v>
      </c>
      <c r="O10">
        <f>$G$106-Table1[[#This Row],[Nuclear]]</f>
        <v>5.9700000000000006</v>
      </c>
    </row>
    <row r="11" spans="1:15">
      <c r="A11">
        <v>2008</v>
      </c>
      <c r="B11">
        <v>136.46</v>
      </c>
      <c r="C11">
        <v>167.49</v>
      </c>
      <c r="D11">
        <v>112.86</v>
      </c>
      <c r="E11">
        <v>15.7</v>
      </c>
      <c r="F11">
        <v>47</v>
      </c>
      <c r="G11">
        <v>8.8000000000000007</v>
      </c>
      <c r="H11">
        <v>0.25</v>
      </c>
      <c r="J11">
        <f>$B$106-Table1[[#This Row],[Coal]]</f>
        <v>21.22999999999999</v>
      </c>
      <c r="K11">
        <f>$C$106-Table1[[#This Row],[Oil]]</f>
        <v>29.95999999999998</v>
      </c>
      <c r="L11">
        <f>$D$106-Table1[[#This Row],[Gas]]</f>
        <v>35.959999999999994</v>
      </c>
      <c r="M11">
        <f>$E$106-Table1[[#This Row],[Renewables]]</f>
        <v>300.2</v>
      </c>
      <c r="N11">
        <f>$F$106-Table1[[#This Row],[Bioenergy]]</f>
        <v>15.310000000000002</v>
      </c>
      <c r="O11">
        <f>$G$106-Table1[[#This Row],[Nuclear]]</f>
        <v>5.6199999999999992</v>
      </c>
    </row>
    <row r="12" spans="1:15">
      <c r="A12">
        <v>2009</v>
      </c>
      <c r="B12">
        <v>139.18</v>
      </c>
      <c r="C12">
        <v>169.36</v>
      </c>
      <c r="D12">
        <v>115.5</v>
      </c>
      <c r="E12">
        <v>16.43</v>
      </c>
      <c r="F12">
        <v>47.61</v>
      </c>
      <c r="G12">
        <v>9.16</v>
      </c>
      <c r="H12">
        <v>0.25</v>
      </c>
      <c r="J12">
        <f>$B$106-Table1[[#This Row],[Coal]]</f>
        <v>18.509999999999991</v>
      </c>
      <c r="K12">
        <f>$C$106-Table1[[#This Row],[Oil]]</f>
        <v>28.089999999999975</v>
      </c>
      <c r="L12">
        <f>$D$106-Table1[[#This Row],[Gas]]</f>
        <v>33.319999999999993</v>
      </c>
      <c r="M12">
        <f>$E$106-Table1[[#This Row],[Renewables]]</f>
        <v>299.46999999999997</v>
      </c>
      <c r="N12">
        <f>$F$106-Table1[[#This Row],[Bioenergy]]</f>
        <v>14.700000000000003</v>
      </c>
      <c r="O12">
        <f>$G$106-Table1[[#This Row],[Nuclear]]</f>
        <v>5.26</v>
      </c>
    </row>
    <row r="13" spans="1:15">
      <c r="A13">
        <v>2010</v>
      </c>
      <c r="B13">
        <v>140.63999999999999</v>
      </c>
      <c r="C13">
        <v>170.01</v>
      </c>
      <c r="D13">
        <v>117.01</v>
      </c>
      <c r="E13">
        <v>17.079999999999998</v>
      </c>
      <c r="F13">
        <v>47.85</v>
      </c>
      <c r="G13">
        <v>9.51</v>
      </c>
      <c r="H13">
        <v>0.25</v>
      </c>
      <c r="J13">
        <f>$B$106-Table1[[#This Row],[Coal]]</f>
        <v>17.050000000000011</v>
      </c>
      <c r="K13">
        <f>$C$106-Table1[[#This Row],[Oil]]</f>
        <v>27.439999999999998</v>
      </c>
      <c r="L13">
        <f>$D$106-Table1[[#This Row],[Gas]]</f>
        <v>31.809999999999988</v>
      </c>
      <c r="M13">
        <f>$E$106-Table1[[#This Row],[Renewables]]</f>
        <v>298.82</v>
      </c>
      <c r="N13">
        <f>$F$106-Table1[[#This Row],[Bioenergy]]</f>
        <v>14.46</v>
      </c>
      <c r="O13">
        <f>$G$106-Table1[[#This Row],[Nuclear]]</f>
        <v>4.91</v>
      </c>
    </row>
    <row r="14" spans="1:15">
      <c r="A14">
        <v>2011</v>
      </c>
      <c r="B14">
        <v>143.24</v>
      </c>
      <c r="C14">
        <v>172.22</v>
      </c>
      <c r="D14">
        <v>119.74</v>
      </c>
      <c r="E14">
        <v>17.760000000000002</v>
      </c>
      <c r="F14">
        <v>48.56</v>
      </c>
      <c r="G14">
        <v>9.84</v>
      </c>
      <c r="H14">
        <v>0.25</v>
      </c>
      <c r="J14">
        <f>$B$106-Table1[[#This Row],[Coal]]</f>
        <v>14.449999999999989</v>
      </c>
      <c r="K14">
        <f>$C$106-Table1[[#This Row],[Oil]]</f>
        <v>25.22999999999999</v>
      </c>
      <c r="L14">
        <f>$D$106-Table1[[#This Row],[Gas]]</f>
        <v>29.08</v>
      </c>
      <c r="M14">
        <f>$E$106-Table1[[#This Row],[Renewables]]</f>
        <v>298.14</v>
      </c>
      <c r="N14">
        <f>$F$106-Table1[[#This Row],[Bioenergy]]</f>
        <v>13.75</v>
      </c>
      <c r="O14">
        <f>$G$106-Table1[[#This Row],[Nuclear]]</f>
        <v>4.58</v>
      </c>
    </row>
    <row r="15" spans="1:15">
      <c r="A15">
        <v>2012</v>
      </c>
      <c r="B15">
        <v>145.96</v>
      </c>
      <c r="C15">
        <v>174.73</v>
      </c>
      <c r="D15">
        <v>122.63</v>
      </c>
      <c r="E15">
        <v>18.43</v>
      </c>
      <c r="F15">
        <v>49.34</v>
      </c>
      <c r="G15">
        <v>10.119999999999999</v>
      </c>
      <c r="H15">
        <v>0.25</v>
      </c>
      <c r="J15">
        <f>$B$106-Table1[[#This Row],[Coal]]</f>
        <v>11.72999999999999</v>
      </c>
      <c r="K15">
        <f>$C$106-Table1[[#This Row],[Oil]]</f>
        <v>22.72</v>
      </c>
      <c r="L15">
        <f>$D$106-Table1[[#This Row],[Gas]]</f>
        <v>26.189999999999998</v>
      </c>
      <c r="M15">
        <f>$E$106-Table1[[#This Row],[Renewables]]</f>
        <v>297.46999999999997</v>
      </c>
      <c r="N15">
        <f>$F$106-Table1[[#This Row],[Bioenergy]]</f>
        <v>12.969999999999999</v>
      </c>
      <c r="O15">
        <f>$G$106-Table1[[#This Row],[Nuclear]]</f>
        <v>4.3000000000000007</v>
      </c>
    </row>
    <row r="16" spans="1:15">
      <c r="A16">
        <v>2013</v>
      </c>
      <c r="B16">
        <v>148.35</v>
      </c>
      <c r="C16">
        <v>177.03</v>
      </c>
      <c r="D16">
        <v>125.38</v>
      </c>
      <c r="E16">
        <v>19.100000000000001</v>
      </c>
      <c r="F16">
        <v>50.06</v>
      </c>
      <c r="G16">
        <v>10.36</v>
      </c>
      <c r="H16">
        <v>0.25</v>
      </c>
      <c r="J16">
        <f>$B$106-Table1[[#This Row],[Coal]]</f>
        <v>9.3400000000000034</v>
      </c>
      <c r="K16">
        <f>$C$106-Table1[[#This Row],[Oil]]</f>
        <v>20.419999999999987</v>
      </c>
      <c r="L16">
        <f>$D$106-Table1[[#This Row],[Gas]]</f>
        <v>23.439999999999998</v>
      </c>
      <c r="M16">
        <f>$E$106-Table1[[#This Row],[Renewables]]</f>
        <v>296.79999999999995</v>
      </c>
      <c r="N16">
        <f>$F$106-Table1[[#This Row],[Bioenergy]]</f>
        <v>12.25</v>
      </c>
      <c r="O16">
        <f>$G$106-Table1[[#This Row],[Nuclear]]</f>
        <v>4.0600000000000005</v>
      </c>
    </row>
    <row r="17" spans="1:15">
      <c r="A17">
        <v>2014</v>
      </c>
      <c r="B17">
        <v>150.54</v>
      </c>
      <c r="C17">
        <v>179.26</v>
      </c>
      <c r="D17">
        <v>128.15</v>
      </c>
      <c r="E17">
        <v>19.809999999999999</v>
      </c>
      <c r="F17">
        <v>50.77</v>
      </c>
      <c r="G17">
        <v>10.54</v>
      </c>
      <c r="H17">
        <v>0.25</v>
      </c>
      <c r="J17">
        <f>$B$106-Table1[[#This Row],[Coal]]</f>
        <v>7.1500000000000057</v>
      </c>
      <c r="K17">
        <f>$C$106-Table1[[#This Row],[Oil]]</f>
        <v>18.189999999999998</v>
      </c>
      <c r="L17">
        <f>$D$106-Table1[[#This Row],[Gas]]</f>
        <v>20.669999999999987</v>
      </c>
      <c r="M17">
        <f>$E$106-Table1[[#This Row],[Renewables]]</f>
        <v>296.08999999999997</v>
      </c>
      <c r="N17">
        <f>$F$106-Table1[[#This Row],[Bioenergy]]</f>
        <v>11.54</v>
      </c>
      <c r="O17">
        <f>$G$106-Table1[[#This Row],[Nuclear]]</f>
        <v>3.8800000000000008</v>
      </c>
    </row>
    <row r="18" spans="1:15">
      <c r="A18">
        <v>2015</v>
      </c>
      <c r="B18">
        <v>152.62</v>
      </c>
      <c r="C18">
        <v>181.56</v>
      </c>
      <c r="D18">
        <v>131.01</v>
      </c>
      <c r="E18">
        <v>20.62</v>
      </c>
      <c r="F18">
        <v>51.51</v>
      </c>
      <c r="G18">
        <v>10.68</v>
      </c>
      <c r="H18">
        <v>0.25</v>
      </c>
      <c r="J18">
        <f>$B$106-Table1[[#This Row],[Coal]]</f>
        <v>5.0699999999999932</v>
      </c>
      <c r="K18">
        <f>$C$106-Table1[[#This Row],[Oil]]</f>
        <v>15.889999999999986</v>
      </c>
      <c r="L18">
        <f>$D$106-Table1[[#This Row],[Gas]]</f>
        <v>17.810000000000002</v>
      </c>
      <c r="M18">
        <f>$E$106-Table1[[#This Row],[Renewables]]</f>
        <v>295.27999999999997</v>
      </c>
      <c r="N18">
        <f>$F$106-Table1[[#This Row],[Bioenergy]]</f>
        <v>10.800000000000004</v>
      </c>
      <c r="O18">
        <f>$G$106-Table1[[#This Row],[Nuclear]]</f>
        <v>3.74</v>
      </c>
    </row>
    <row r="19" spans="1:15">
      <c r="A19">
        <v>2016</v>
      </c>
      <c r="B19">
        <v>154.25</v>
      </c>
      <c r="C19">
        <v>183.79</v>
      </c>
      <c r="D19">
        <v>133.72999999999999</v>
      </c>
      <c r="E19">
        <v>21.55</v>
      </c>
      <c r="F19">
        <v>52.24</v>
      </c>
      <c r="G19">
        <v>10.77</v>
      </c>
      <c r="H19">
        <v>0.25</v>
      </c>
      <c r="J19">
        <f>$B$106-Table1[[#This Row],[Coal]]</f>
        <v>3.4399999999999977</v>
      </c>
      <c r="K19">
        <f>$C$106-Table1[[#This Row],[Oil]]</f>
        <v>13.659999999999997</v>
      </c>
      <c r="L19">
        <f>$D$106-Table1[[#This Row],[Gas]]</f>
        <v>15.090000000000003</v>
      </c>
      <c r="M19">
        <f>$E$106-Table1[[#This Row],[Renewables]]</f>
        <v>294.34999999999997</v>
      </c>
      <c r="N19">
        <f>$F$106-Table1[[#This Row],[Bioenergy]]</f>
        <v>10.07</v>
      </c>
      <c r="O19">
        <f>$G$106-Table1[[#This Row],[Nuclear]]</f>
        <v>3.6500000000000004</v>
      </c>
    </row>
    <row r="20" spans="1:15">
      <c r="A20">
        <v>2017</v>
      </c>
      <c r="B20">
        <v>155.54</v>
      </c>
      <c r="C20">
        <v>186.06</v>
      </c>
      <c r="D20">
        <v>136.4</v>
      </c>
      <c r="E20">
        <v>22.66</v>
      </c>
      <c r="F20">
        <v>53</v>
      </c>
      <c r="G20">
        <v>10.83</v>
      </c>
      <c r="H20">
        <v>0.25</v>
      </c>
      <c r="J20">
        <f>$B$106-Table1[[#This Row],[Coal]]</f>
        <v>2.1500000000000057</v>
      </c>
      <c r="K20">
        <f>$C$106-Table1[[#This Row],[Oil]]</f>
        <v>11.389999999999986</v>
      </c>
      <c r="L20">
        <f>$D$106-Table1[[#This Row],[Gas]]</f>
        <v>12.419999999999987</v>
      </c>
      <c r="M20">
        <f>$E$106-Table1[[#This Row],[Renewables]]</f>
        <v>293.23999999999995</v>
      </c>
      <c r="N20">
        <f>$F$106-Table1[[#This Row],[Bioenergy]]</f>
        <v>9.3100000000000023</v>
      </c>
      <c r="O20">
        <f>$G$106-Table1[[#This Row],[Nuclear]]</f>
        <v>3.59</v>
      </c>
    </row>
    <row r="21" spans="1:15">
      <c r="A21">
        <v>2018</v>
      </c>
      <c r="B21">
        <v>156.78</v>
      </c>
      <c r="C21">
        <v>188.56</v>
      </c>
      <c r="D21">
        <v>139.16999999999999</v>
      </c>
      <c r="E21">
        <v>23.96</v>
      </c>
      <c r="F21">
        <v>53.83</v>
      </c>
      <c r="G21">
        <v>10.85</v>
      </c>
      <c r="H21">
        <v>0.25</v>
      </c>
      <c r="J21">
        <f>$B$106-Table1[[#This Row],[Coal]]</f>
        <v>0.90999999999999659</v>
      </c>
      <c r="K21">
        <f>$C$106-Table1[[#This Row],[Oil]]</f>
        <v>8.8899999999999864</v>
      </c>
      <c r="L21">
        <f>$D$106-Table1[[#This Row],[Gas]]</f>
        <v>9.6500000000000057</v>
      </c>
      <c r="M21">
        <f>$E$106-Table1[[#This Row],[Renewables]]</f>
        <v>291.94</v>
      </c>
      <c r="N21">
        <f>$F$106-Table1[[#This Row],[Bioenergy]]</f>
        <v>8.480000000000004</v>
      </c>
      <c r="O21">
        <f>$G$106-Table1[[#This Row],[Nuclear]]</f>
        <v>3.5700000000000003</v>
      </c>
    </row>
    <row r="22" spans="1:15">
      <c r="A22">
        <v>2019</v>
      </c>
      <c r="B22">
        <v>157.69</v>
      </c>
      <c r="C22">
        <v>190.94</v>
      </c>
      <c r="D22">
        <v>141.69</v>
      </c>
      <c r="E22">
        <v>25.49</v>
      </c>
      <c r="F22">
        <v>54.62</v>
      </c>
      <c r="G22">
        <v>10.87</v>
      </c>
      <c r="H22">
        <v>0.25</v>
      </c>
      <c r="J22">
        <f>$B$106-Table1[[#This Row],[Coal]]</f>
        <v>0</v>
      </c>
      <c r="K22">
        <f>$C$106-Table1[[#This Row],[Oil]]</f>
        <v>6.5099999999999909</v>
      </c>
      <c r="L22">
        <f>$D$106-Table1[[#This Row],[Gas]]</f>
        <v>7.1299999999999955</v>
      </c>
      <c r="M22">
        <f>$E$106-Table1[[#This Row],[Renewables]]</f>
        <v>290.40999999999997</v>
      </c>
      <c r="N22">
        <f>$F$106-Table1[[#This Row],[Bioenergy]]</f>
        <v>7.6900000000000048</v>
      </c>
      <c r="O22">
        <f>$G$106-Table1[[#This Row],[Nuclear]]</f>
        <v>3.5500000000000007</v>
      </c>
    </row>
    <row r="23" spans="1:15">
      <c r="A23">
        <v>2020</v>
      </c>
      <c r="B23">
        <v>156.86000000000001</v>
      </c>
      <c r="C23">
        <v>191.7</v>
      </c>
      <c r="D23">
        <v>142.53</v>
      </c>
      <c r="E23">
        <v>27.17</v>
      </c>
      <c r="F23">
        <v>54.86</v>
      </c>
      <c r="G23">
        <v>10.87</v>
      </c>
      <c r="H23">
        <v>0.25</v>
      </c>
      <c r="J23">
        <f>$B$106-Table1[[#This Row],[Coal]]</f>
        <v>0.82999999999998408</v>
      </c>
      <c r="K23">
        <f>$C$106-Table1[[#This Row],[Oil]]</f>
        <v>5.75</v>
      </c>
      <c r="L23">
        <f>$D$106-Table1[[#This Row],[Gas]]</f>
        <v>6.289999999999992</v>
      </c>
      <c r="M23">
        <f>$E$106-Table1[[#This Row],[Renewables]]</f>
        <v>288.72999999999996</v>
      </c>
      <c r="N23">
        <f>$F$106-Table1[[#This Row],[Bioenergy]]</f>
        <v>7.4500000000000028</v>
      </c>
      <c r="O23">
        <f>$G$106-Table1[[#This Row],[Nuclear]]</f>
        <v>3.5500000000000007</v>
      </c>
    </row>
    <row r="24" spans="1:15">
      <c r="A24">
        <v>2021</v>
      </c>
      <c r="B24">
        <v>154.19999999999999</v>
      </c>
      <c r="C24">
        <v>190.68</v>
      </c>
      <c r="D24">
        <v>141.78</v>
      </c>
      <c r="E24">
        <v>28.89</v>
      </c>
      <c r="F24">
        <v>54.59</v>
      </c>
      <c r="G24">
        <v>10.85</v>
      </c>
      <c r="H24">
        <v>0.25</v>
      </c>
      <c r="J24">
        <f>$B$106-Table1[[#This Row],[Coal]]</f>
        <v>3.4900000000000091</v>
      </c>
      <c r="K24">
        <f>$C$106-Table1[[#This Row],[Oil]]</f>
        <v>6.7699999999999818</v>
      </c>
      <c r="L24">
        <f>$D$106-Table1[[#This Row],[Gas]]</f>
        <v>7.039999999999992</v>
      </c>
      <c r="M24">
        <f>$E$106-Table1[[#This Row],[Renewables]]</f>
        <v>287.01</v>
      </c>
      <c r="N24">
        <f>$F$106-Table1[[#This Row],[Bioenergy]]</f>
        <v>7.7199999999999989</v>
      </c>
      <c r="O24">
        <f>$G$106-Table1[[#This Row],[Nuclear]]</f>
        <v>3.5700000000000003</v>
      </c>
    </row>
    <row r="25" spans="1:15">
      <c r="A25">
        <v>2022</v>
      </c>
      <c r="B25">
        <v>154.32</v>
      </c>
      <c r="C25">
        <v>192.52</v>
      </c>
      <c r="D25">
        <v>143.6</v>
      </c>
      <c r="E25">
        <v>30.77</v>
      </c>
      <c r="F25">
        <v>55.21</v>
      </c>
      <c r="G25">
        <v>10.83</v>
      </c>
      <c r="H25">
        <v>0.25</v>
      </c>
      <c r="J25">
        <f>$B$106-Table1[[#This Row],[Coal]]</f>
        <v>3.3700000000000045</v>
      </c>
      <c r="K25">
        <f>$C$106-Table1[[#This Row],[Oil]]</f>
        <v>4.9299999999999784</v>
      </c>
      <c r="L25">
        <f>$D$106-Table1[[#This Row],[Gas]]</f>
        <v>5.2199999999999989</v>
      </c>
      <c r="M25">
        <f>$E$106-Table1[[#This Row],[Renewables]]</f>
        <v>285.13</v>
      </c>
      <c r="N25">
        <f>$F$106-Table1[[#This Row],[Bioenergy]]</f>
        <v>7.1000000000000014</v>
      </c>
      <c r="O25">
        <f>$G$106-Table1[[#This Row],[Nuclear]]</f>
        <v>3.59</v>
      </c>
    </row>
    <row r="26" spans="1:15">
      <c r="A26">
        <v>2023</v>
      </c>
      <c r="B26">
        <v>154.75</v>
      </c>
      <c r="C26">
        <v>194.43</v>
      </c>
      <c r="D26">
        <v>145.5</v>
      </c>
      <c r="E26">
        <v>32.67</v>
      </c>
      <c r="F26">
        <v>55.83</v>
      </c>
      <c r="G26">
        <v>10.8</v>
      </c>
      <c r="H26">
        <v>0.25</v>
      </c>
      <c r="J26">
        <f>$B$106-Table1[[#This Row],[Coal]]</f>
        <v>2.9399999999999977</v>
      </c>
      <c r="K26">
        <f>$C$106-Table1[[#This Row],[Oil]]</f>
        <v>3.0199999999999818</v>
      </c>
      <c r="L26">
        <f>$D$106-Table1[[#This Row],[Gas]]</f>
        <v>3.3199999999999932</v>
      </c>
      <c r="M26">
        <f>$E$106-Table1[[#This Row],[Renewables]]</f>
        <v>283.22999999999996</v>
      </c>
      <c r="N26">
        <f>$F$106-Table1[[#This Row],[Bioenergy]]</f>
        <v>6.480000000000004</v>
      </c>
      <c r="O26">
        <f>$G$106-Table1[[#This Row],[Nuclear]]</f>
        <v>3.6199999999999992</v>
      </c>
    </row>
    <row r="27" spans="1:15">
      <c r="A27">
        <v>2024</v>
      </c>
      <c r="B27">
        <v>155.11000000000001</v>
      </c>
      <c r="C27">
        <v>196.15</v>
      </c>
      <c r="D27">
        <v>147.34</v>
      </c>
      <c r="E27">
        <v>34.659999999999997</v>
      </c>
      <c r="F27">
        <v>56.4</v>
      </c>
      <c r="G27">
        <v>10.75</v>
      </c>
      <c r="H27">
        <v>0.25</v>
      </c>
      <c r="J27">
        <f>$B$106-Table1[[#This Row],[Coal]]</f>
        <v>2.5799999999999841</v>
      </c>
      <c r="K27">
        <f>$C$106-Table1[[#This Row],[Oil]]</f>
        <v>1.2999999999999829</v>
      </c>
      <c r="L27">
        <f>$D$106-Table1[[#This Row],[Gas]]</f>
        <v>1.4799999999999898</v>
      </c>
      <c r="M27">
        <f>$E$106-Table1[[#This Row],[Renewables]]</f>
        <v>281.24</v>
      </c>
      <c r="N27">
        <f>$F$106-Table1[[#This Row],[Bioenergy]]</f>
        <v>5.9100000000000037</v>
      </c>
      <c r="O27">
        <f>$G$106-Table1[[#This Row],[Nuclear]]</f>
        <v>3.67</v>
      </c>
    </row>
    <row r="28" spans="1:15">
      <c r="A28">
        <v>2025</v>
      </c>
      <c r="B28">
        <v>155</v>
      </c>
      <c r="C28">
        <v>197.45</v>
      </c>
      <c r="D28">
        <v>148.82</v>
      </c>
      <c r="E28">
        <v>36.79</v>
      </c>
      <c r="F28">
        <v>56.84</v>
      </c>
      <c r="G28">
        <v>10.71</v>
      </c>
      <c r="H28">
        <v>0.25</v>
      </c>
      <c r="J28">
        <f>$B$106-Table1[[#This Row],[Coal]]</f>
        <v>2.6899999999999977</v>
      </c>
      <c r="K28">
        <f>$C$106-Table1[[#This Row],[Oil]]</f>
        <v>0</v>
      </c>
      <c r="L28">
        <f>$D$106-Table1[[#This Row],[Gas]]</f>
        <v>0</v>
      </c>
      <c r="M28">
        <f>$E$106-Table1[[#This Row],[Renewables]]</f>
        <v>279.10999999999996</v>
      </c>
      <c r="N28">
        <f>$F$106-Table1[[#This Row],[Bioenergy]]</f>
        <v>5.4699999999999989</v>
      </c>
      <c r="O28">
        <f>$G$106-Table1[[#This Row],[Nuclear]]</f>
        <v>3.7099999999999991</v>
      </c>
    </row>
    <row r="29" spans="1:15">
      <c r="A29">
        <v>2026</v>
      </c>
      <c r="B29">
        <v>149.81</v>
      </c>
      <c r="C29">
        <v>195.88</v>
      </c>
      <c r="D29">
        <v>147.88999999999999</v>
      </c>
      <c r="E29">
        <v>39.17</v>
      </c>
      <c r="F29">
        <v>57.33</v>
      </c>
      <c r="G29">
        <v>10.67</v>
      </c>
      <c r="H29">
        <v>0.25</v>
      </c>
      <c r="J29">
        <f>$B$106-Table1[[#This Row],[Coal]]</f>
        <v>7.8799999999999955</v>
      </c>
      <c r="K29">
        <f>$C$106-Table1[[#This Row],[Oil]]</f>
        <v>1.5699999999999932</v>
      </c>
      <c r="L29">
        <f>$D$106-Table1[[#This Row],[Gas]]</f>
        <v>0.93000000000000682</v>
      </c>
      <c r="M29">
        <f>$E$106-Table1[[#This Row],[Renewables]]</f>
        <v>276.72999999999996</v>
      </c>
      <c r="N29">
        <f>$F$106-Table1[[#This Row],[Bioenergy]]</f>
        <v>4.980000000000004</v>
      </c>
      <c r="O29">
        <f>$G$106-Table1[[#This Row],[Nuclear]]</f>
        <v>3.75</v>
      </c>
    </row>
    <row r="30" spans="1:15">
      <c r="A30">
        <v>2027</v>
      </c>
      <c r="B30">
        <v>142.01</v>
      </c>
      <c r="C30">
        <v>193.05</v>
      </c>
      <c r="D30">
        <v>146.12</v>
      </c>
      <c r="E30">
        <v>42.06</v>
      </c>
      <c r="F30">
        <v>58.06</v>
      </c>
      <c r="G30">
        <v>10.64</v>
      </c>
      <c r="H30">
        <v>0.25</v>
      </c>
      <c r="J30">
        <f>$B$106-Table1[[#This Row],[Coal]]</f>
        <v>15.680000000000007</v>
      </c>
      <c r="K30">
        <f>$C$106-Table1[[#This Row],[Oil]]</f>
        <v>4.3999999999999773</v>
      </c>
      <c r="L30">
        <f>$D$106-Table1[[#This Row],[Gas]]</f>
        <v>2.6999999999999886</v>
      </c>
      <c r="M30">
        <f>$E$106-Table1[[#This Row],[Renewables]]</f>
        <v>273.83999999999997</v>
      </c>
      <c r="N30">
        <f>$F$106-Table1[[#This Row],[Bioenergy]]</f>
        <v>4.25</v>
      </c>
      <c r="O30">
        <f>$G$106-Table1[[#This Row],[Nuclear]]</f>
        <v>3.7799999999999994</v>
      </c>
    </row>
    <row r="31" spans="1:15">
      <c r="A31">
        <v>2028</v>
      </c>
      <c r="B31">
        <v>134.28</v>
      </c>
      <c r="C31">
        <v>190.06</v>
      </c>
      <c r="D31">
        <v>143.88</v>
      </c>
      <c r="E31">
        <v>45.59</v>
      </c>
      <c r="F31">
        <v>58.88</v>
      </c>
      <c r="G31">
        <v>10.65</v>
      </c>
      <c r="H31">
        <v>0.25</v>
      </c>
      <c r="J31">
        <f>$B$106-Table1[[#This Row],[Coal]]</f>
        <v>23.409999999999997</v>
      </c>
      <c r="K31">
        <f>$C$106-Table1[[#This Row],[Oil]]</f>
        <v>7.3899999999999864</v>
      </c>
      <c r="L31">
        <f>$D$106-Table1[[#This Row],[Gas]]</f>
        <v>4.9399999999999977</v>
      </c>
      <c r="M31">
        <f>$E$106-Table1[[#This Row],[Renewables]]</f>
        <v>270.30999999999995</v>
      </c>
      <c r="N31">
        <f>$F$106-Table1[[#This Row],[Bioenergy]]</f>
        <v>3.4299999999999997</v>
      </c>
      <c r="O31">
        <f>$G$106-Table1[[#This Row],[Nuclear]]</f>
        <v>3.7699999999999996</v>
      </c>
    </row>
    <row r="32" spans="1:15">
      <c r="A32">
        <v>2029</v>
      </c>
      <c r="B32">
        <v>126.75</v>
      </c>
      <c r="C32">
        <v>186.78</v>
      </c>
      <c r="D32">
        <v>140.9</v>
      </c>
      <c r="E32">
        <v>49.88</v>
      </c>
      <c r="F32">
        <v>59.74</v>
      </c>
      <c r="G32">
        <v>10.72</v>
      </c>
      <c r="H32">
        <v>0.25</v>
      </c>
      <c r="J32">
        <f>$B$106-Table1[[#This Row],[Coal]]</f>
        <v>30.939999999999998</v>
      </c>
      <c r="K32">
        <f>$C$106-Table1[[#This Row],[Oil]]</f>
        <v>10.669999999999987</v>
      </c>
      <c r="L32">
        <f>$D$106-Table1[[#This Row],[Gas]]</f>
        <v>7.9199999999999875</v>
      </c>
      <c r="M32">
        <f>$E$106-Table1[[#This Row],[Renewables]]</f>
        <v>266.02</v>
      </c>
      <c r="N32">
        <f>$F$106-Table1[[#This Row],[Bioenergy]]</f>
        <v>2.5700000000000003</v>
      </c>
      <c r="O32">
        <f>$G$106-Table1[[#This Row],[Nuclear]]</f>
        <v>3.6999999999999993</v>
      </c>
    </row>
    <row r="33" spans="1:15">
      <c r="A33">
        <v>2030</v>
      </c>
      <c r="B33">
        <v>119.26</v>
      </c>
      <c r="C33">
        <v>183.12</v>
      </c>
      <c r="D33">
        <v>137.07</v>
      </c>
      <c r="E33">
        <v>55.13</v>
      </c>
      <c r="F33">
        <v>60.56</v>
      </c>
      <c r="G33">
        <v>10.87</v>
      </c>
      <c r="H33">
        <v>0.25</v>
      </c>
      <c r="J33">
        <f>$B$106-Table1[[#This Row],[Coal]]</f>
        <v>38.429999999999993</v>
      </c>
      <c r="K33">
        <f>$C$106-Table1[[#This Row],[Oil]]</f>
        <v>14.329999999999984</v>
      </c>
      <c r="L33">
        <f>$D$106-Table1[[#This Row],[Gas]]</f>
        <v>11.75</v>
      </c>
      <c r="M33">
        <f>$E$106-Table1[[#This Row],[Renewables]]</f>
        <v>260.77</v>
      </c>
      <c r="N33">
        <f>$F$106-Table1[[#This Row],[Bioenergy]]</f>
        <v>1.75</v>
      </c>
      <c r="O33">
        <f>$G$106-Table1[[#This Row],[Nuclear]]</f>
        <v>3.5500000000000007</v>
      </c>
    </row>
    <row r="34" spans="1:15">
      <c r="A34">
        <v>2031</v>
      </c>
      <c r="B34">
        <v>111.71</v>
      </c>
      <c r="C34">
        <v>179</v>
      </c>
      <c r="D34">
        <v>132.4</v>
      </c>
      <c r="E34">
        <v>61.46</v>
      </c>
      <c r="F34">
        <v>61.29</v>
      </c>
      <c r="G34">
        <v>11.09</v>
      </c>
      <c r="H34">
        <v>0.25</v>
      </c>
      <c r="J34">
        <f>$B$106-Table1[[#This Row],[Coal]]</f>
        <v>45.980000000000004</v>
      </c>
      <c r="K34">
        <f>$C$106-Table1[[#This Row],[Oil]]</f>
        <v>18.449999999999989</v>
      </c>
      <c r="L34">
        <f>$D$106-Table1[[#This Row],[Gas]]</f>
        <v>16.419999999999987</v>
      </c>
      <c r="M34">
        <f>$E$106-Table1[[#This Row],[Renewables]]</f>
        <v>254.43999999999997</v>
      </c>
      <c r="N34">
        <f>$F$106-Table1[[#This Row],[Bioenergy]]</f>
        <v>1.0200000000000031</v>
      </c>
      <c r="O34">
        <f>$G$106-Table1[[#This Row],[Nuclear]]</f>
        <v>3.33</v>
      </c>
    </row>
    <row r="35" spans="1:15">
      <c r="A35">
        <v>2032</v>
      </c>
      <c r="B35">
        <v>104.07</v>
      </c>
      <c r="C35">
        <v>174.37</v>
      </c>
      <c r="D35">
        <v>126.94</v>
      </c>
      <c r="E35">
        <v>68.98</v>
      </c>
      <c r="F35">
        <v>61.86</v>
      </c>
      <c r="G35">
        <v>11.37</v>
      </c>
      <c r="H35">
        <v>0.25</v>
      </c>
      <c r="J35">
        <f>$B$106-Table1[[#This Row],[Coal]]</f>
        <v>53.620000000000005</v>
      </c>
      <c r="K35">
        <f>$C$106-Table1[[#This Row],[Oil]]</f>
        <v>23.079999999999984</v>
      </c>
      <c r="L35">
        <f>$D$106-Table1[[#This Row],[Gas]]</f>
        <v>21.879999999999995</v>
      </c>
      <c r="M35">
        <f>$E$106-Table1[[#This Row],[Renewables]]</f>
        <v>246.91999999999996</v>
      </c>
      <c r="N35">
        <f>$F$106-Table1[[#This Row],[Bioenergy]]</f>
        <v>0.45000000000000284</v>
      </c>
      <c r="O35">
        <f>$G$106-Table1[[#This Row],[Nuclear]]</f>
        <v>3.0500000000000007</v>
      </c>
    </row>
    <row r="36" spans="1:15">
      <c r="A36">
        <v>2033</v>
      </c>
      <c r="B36">
        <v>96.41</v>
      </c>
      <c r="C36">
        <v>169.21</v>
      </c>
      <c r="D36">
        <v>120.76</v>
      </c>
      <c r="E36">
        <v>77.790000000000006</v>
      </c>
      <c r="F36">
        <v>62.2</v>
      </c>
      <c r="G36">
        <v>11.68</v>
      </c>
      <c r="H36">
        <v>0.25</v>
      </c>
      <c r="J36">
        <f>$B$106-Table1[[#This Row],[Coal]]</f>
        <v>61.28</v>
      </c>
      <c r="K36">
        <f>$C$106-Table1[[#This Row],[Oil]]</f>
        <v>28.239999999999981</v>
      </c>
      <c r="L36">
        <f>$D$106-Table1[[#This Row],[Gas]]</f>
        <v>28.059999999999988</v>
      </c>
      <c r="M36">
        <f>$E$106-Table1[[#This Row],[Renewables]]</f>
        <v>238.10999999999996</v>
      </c>
      <c r="N36">
        <f>$F$106-Table1[[#This Row],[Bioenergy]]</f>
        <v>0.10999999999999943</v>
      </c>
      <c r="O36">
        <f>$G$106-Table1[[#This Row],[Nuclear]]</f>
        <v>2.74</v>
      </c>
    </row>
    <row r="37" spans="1:15">
      <c r="A37">
        <v>2034</v>
      </c>
      <c r="B37">
        <v>88.86</v>
      </c>
      <c r="C37">
        <v>163.57</v>
      </c>
      <c r="D37">
        <v>114.02</v>
      </c>
      <c r="E37">
        <v>87.93</v>
      </c>
      <c r="F37">
        <v>62.31</v>
      </c>
      <c r="G37">
        <v>11.98</v>
      </c>
      <c r="H37">
        <v>0.25</v>
      </c>
      <c r="J37">
        <f>$B$106-Table1[[#This Row],[Coal]]</f>
        <v>68.83</v>
      </c>
      <c r="K37">
        <f>$C$106-Table1[[#This Row],[Oil]]</f>
        <v>33.879999999999995</v>
      </c>
      <c r="L37">
        <f>$D$106-Table1[[#This Row],[Gas]]</f>
        <v>34.799999999999997</v>
      </c>
      <c r="M37">
        <f>$E$106-Table1[[#This Row],[Renewables]]</f>
        <v>227.96999999999997</v>
      </c>
      <c r="N37">
        <f>$F$106-Table1[[#This Row],[Bioenergy]]</f>
        <v>0</v>
      </c>
      <c r="O37">
        <f>$G$106-Table1[[#This Row],[Nuclear]]</f>
        <v>2.4399999999999995</v>
      </c>
    </row>
    <row r="38" spans="1:15">
      <c r="A38">
        <v>2035</v>
      </c>
      <c r="B38">
        <v>81.56</v>
      </c>
      <c r="C38">
        <v>157.54</v>
      </c>
      <c r="D38">
        <v>106.91</v>
      </c>
      <c r="E38">
        <v>99.38</v>
      </c>
      <c r="F38">
        <v>62.19</v>
      </c>
      <c r="G38">
        <v>12.24</v>
      </c>
      <c r="H38">
        <v>0.25</v>
      </c>
      <c r="J38">
        <f>$B$106-Table1[[#This Row],[Coal]]</f>
        <v>76.13</v>
      </c>
      <c r="K38">
        <f>$C$106-Table1[[#This Row],[Oil]]</f>
        <v>39.909999999999997</v>
      </c>
      <c r="L38">
        <f>$D$106-Table1[[#This Row],[Gas]]</f>
        <v>41.91</v>
      </c>
      <c r="M38">
        <f>$E$106-Table1[[#This Row],[Renewables]]</f>
        <v>216.51999999999998</v>
      </c>
      <c r="N38">
        <f>$F$106-Table1[[#This Row],[Bioenergy]]</f>
        <v>0.12000000000000455</v>
      </c>
      <c r="O38">
        <f>$G$106-Table1[[#This Row],[Nuclear]]</f>
        <v>2.1799999999999997</v>
      </c>
    </row>
    <row r="39" spans="1:15">
      <c r="A39">
        <v>2036</v>
      </c>
      <c r="B39">
        <v>75.39</v>
      </c>
      <c r="C39">
        <v>152.49</v>
      </c>
      <c r="D39">
        <v>100.61</v>
      </c>
      <c r="E39">
        <v>111.91</v>
      </c>
      <c r="F39">
        <v>61.86</v>
      </c>
      <c r="G39">
        <v>12.39</v>
      </c>
      <c r="H39">
        <v>0.25</v>
      </c>
      <c r="J39">
        <f>$B$106-Table1[[#This Row],[Coal]]</f>
        <v>82.3</v>
      </c>
      <c r="K39">
        <f>$C$106-Table1[[#This Row],[Oil]]</f>
        <v>44.95999999999998</v>
      </c>
      <c r="L39">
        <f>$D$106-Table1[[#This Row],[Gas]]</f>
        <v>48.209999999999994</v>
      </c>
      <c r="M39">
        <f>$E$106-Table1[[#This Row],[Renewables]]</f>
        <v>203.98999999999998</v>
      </c>
      <c r="N39">
        <f>$F$106-Table1[[#This Row],[Bioenergy]]</f>
        <v>0.45000000000000284</v>
      </c>
      <c r="O39">
        <f>$G$106-Table1[[#This Row],[Nuclear]]</f>
        <v>2.0299999999999994</v>
      </c>
    </row>
    <row r="40" spans="1:15">
      <c r="A40">
        <v>2037</v>
      </c>
      <c r="B40">
        <v>70.25</v>
      </c>
      <c r="C40">
        <v>148.03</v>
      </c>
      <c r="D40">
        <v>95.02</v>
      </c>
      <c r="E40">
        <v>124.61</v>
      </c>
      <c r="F40">
        <v>61.39</v>
      </c>
      <c r="G40">
        <v>12.27</v>
      </c>
      <c r="H40">
        <v>0.25</v>
      </c>
      <c r="J40">
        <f>$B$106-Table1[[#This Row],[Coal]]</f>
        <v>87.44</v>
      </c>
      <c r="K40">
        <f>$C$106-Table1[[#This Row],[Oil]]</f>
        <v>49.419999999999987</v>
      </c>
      <c r="L40">
        <f>$D$106-Table1[[#This Row],[Gas]]</f>
        <v>53.8</v>
      </c>
      <c r="M40">
        <f>$E$106-Table1[[#This Row],[Renewables]]</f>
        <v>191.28999999999996</v>
      </c>
      <c r="N40">
        <f>$F$106-Table1[[#This Row],[Bioenergy]]</f>
        <v>0.92000000000000171</v>
      </c>
      <c r="O40">
        <f>$G$106-Table1[[#This Row],[Nuclear]]</f>
        <v>2.1500000000000004</v>
      </c>
    </row>
    <row r="41" spans="1:15">
      <c r="A41">
        <v>2038</v>
      </c>
      <c r="B41">
        <v>65.8</v>
      </c>
      <c r="C41">
        <v>143.47</v>
      </c>
      <c r="D41">
        <v>90</v>
      </c>
      <c r="E41">
        <v>137.05000000000001</v>
      </c>
      <c r="F41">
        <v>60.9</v>
      </c>
      <c r="G41">
        <v>11.69</v>
      </c>
      <c r="H41">
        <v>0.25</v>
      </c>
      <c r="J41">
        <f>$B$106-Table1[[#This Row],[Coal]]</f>
        <v>91.89</v>
      </c>
      <c r="K41">
        <f>$C$106-Table1[[#This Row],[Oil]]</f>
        <v>53.97999999999999</v>
      </c>
      <c r="L41">
        <f>$D$106-Table1[[#This Row],[Gas]]</f>
        <v>58.819999999999993</v>
      </c>
      <c r="M41">
        <f>$E$106-Table1[[#This Row],[Renewables]]</f>
        <v>178.84999999999997</v>
      </c>
      <c r="N41">
        <f>$F$106-Table1[[#This Row],[Bioenergy]]</f>
        <v>1.4100000000000037</v>
      </c>
      <c r="O41">
        <f>$G$106-Table1[[#This Row],[Nuclear]]</f>
        <v>2.7300000000000004</v>
      </c>
    </row>
    <row r="42" spans="1:15">
      <c r="A42">
        <v>2039</v>
      </c>
      <c r="B42">
        <v>62.12</v>
      </c>
      <c r="C42">
        <v>138.85</v>
      </c>
      <c r="D42">
        <v>85.78</v>
      </c>
      <c r="E42">
        <v>148.63999999999999</v>
      </c>
      <c r="F42">
        <v>60.47</v>
      </c>
      <c r="G42">
        <v>10.7</v>
      </c>
      <c r="H42">
        <v>0.25</v>
      </c>
      <c r="J42">
        <f>$B$106-Table1[[#This Row],[Coal]]</f>
        <v>95.57</v>
      </c>
      <c r="K42">
        <f>$C$106-Table1[[#This Row],[Oil]]</f>
        <v>58.599999999999994</v>
      </c>
      <c r="L42">
        <f>$D$106-Table1[[#This Row],[Gas]]</f>
        <v>63.039999999999992</v>
      </c>
      <c r="M42">
        <f>$E$106-Table1[[#This Row],[Renewables]]</f>
        <v>167.26</v>
      </c>
      <c r="N42">
        <f>$F$106-Table1[[#This Row],[Bioenergy]]</f>
        <v>1.8400000000000034</v>
      </c>
      <c r="O42">
        <f>$G$106-Table1[[#This Row],[Nuclear]]</f>
        <v>3.7200000000000006</v>
      </c>
    </row>
    <row r="43" spans="1:15">
      <c r="A43">
        <v>2040</v>
      </c>
      <c r="B43">
        <v>59.48</v>
      </c>
      <c r="C43">
        <v>134.25</v>
      </c>
      <c r="D43">
        <v>82.72</v>
      </c>
      <c r="E43">
        <v>158.54</v>
      </c>
      <c r="F43">
        <v>60.2</v>
      </c>
      <c r="G43">
        <v>10.01</v>
      </c>
      <c r="H43">
        <v>0.25</v>
      </c>
      <c r="J43">
        <f>$B$106-Table1[[#This Row],[Coal]]</f>
        <v>98.210000000000008</v>
      </c>
      <c r="K43">
        <f>$C$106-Table1[[#This Row],[Oil]]</f>
        <v>63.199999999999989</v>
      </c>
      <c r="L43">
        <f>$D$106-Table1[[#This Row],[Gas]]</f>
        <v>66.099999999999994</v>
      </c>
      <c r="M43">
        <f>$E$106-Table1[[#This Row],[Renewables]]</f>
        <v>157.35999999999999</v>
      </c>
      <c r="N43">
        <f>$F$106-Table1[[#This Row],[Bioenergy]]</f>
        <v>2.1099999999999994</v>
      </c>
      <c r="O43">
        <f>$G$106-Table1[[#This Row],[Nuclear]]</f>
        <v>4.41</v>
      </c>
    </row>
    <row r="44" spans="1:15">
      <c r="A44">
        <v>2041</v>
      </c>
      <c r="B44">
        <v>57.75</v>
      </c>
      <c r="C44">
        <v>129.74</v>
      </c>
      <c r="D44">
        <v>80.77</v>
      </c>
      <c r="E44">
        <v>166.8</v>
      </c>
      <c r="F44">
        <v>60.1</v>
      </c>
      <c r="G44">
        <v>9.98</v>
      </c>
      <c r="H44">
        <v>0.25</v>
      </c>
      <c r="J44">
        <f>$B$106-Table1[[#This Row],[Coal]]</f>
        <v>99.94</v>
      </c>
      <c r="K44">
        <f>$C$106-Table1[[#This Row],[Oil]]</f>
        <v>67.70999999999998</v>
      </c>
      <c r="L44">
        <f>$D$106-Table1[[#This Row],[Gas]]</f>
        <v>68.05</v>
      </c>
      <c r="M44">
        <f>$E$106-Table1[[#This Row],[Renewables]]</f>
        <v>149.09999999999997</v>
      </c>
      <c r="N44">
        <f>$F$106-Table1[[#This Row],[Bioenergy]]</f>
        <v>2.2100000000000009</v>
      </c>
      <c r="O44">
        <f>$G$106-Table1[[#This Row],[Nuclear]]</f>
        <v>4.4399999999999995</v>
      </c>
    </row>
    <row r="45" spans="1:15">
      <c r="A45">
        <v>2042</v>
      </c>
      <c r="B45">
        <v>56.78</v>
      </c>
      <c r="C45">
        <v>125.34</v>
      </c>
      <c r="D45">
        <v>79.87</v>
      </c>
      <c r="E45">
        <v>173.6</v>
      </c>
      <c r="F45">
        <v>60.16</v>
      </c>
      <c r="G45">
        <v>10.45</v>
      </c>
      <c r="H45">
        <v>0.25</v>
      </c>
      <c r="J45">
        <f>$B$106-Table1[[#This Row],[Coal]]</f>
        <v>100.91</v>
      </c>
      <c r="K45">
        <f>$C$106-Table1[[#This Row],[Oil]]</f>
        <v>72.109999999999985</v>
      </c>
      <c r="L45">
        <f>$D$106-Table1[[#This Row],[Gas]]</f>
        <v>68.949999999999989</v>
      </c>
      <c r="M45">
        <f>$E$106-Table1[[#This Row],[Renewables]]</f>
        <v>142.29999999999998</v>
      </c>
      <c r="N45">
        <f>$F$106-Table1[[#This Row],[Bioenergy]]</f>
        <v>2.1500000000000057</v>
      </c>
      <c r="O45">
        <f>$G$106-Table1[[#This Row],[Nuclear]]</f>
        <v>3.9700000000000006</v>
      </c>
    </row>
    <row r="46" spans="1:15">
      <c r="A46">
        <v>2043</v>
      </c>
      <c r="B46">
        <v>56.33</v>
      </c>
      <c r="C46">
        <v>121.07</v>
      </c>
      <c r="D46">
        <v>79.83</v>
      </c>
      <c r="E46">
        <v>179.93</v>
      </c>
      <c r="F46">
        <v>60.37</v>
      </c>
      <c r="G46">
        <v>11.04</v>
      </c>
      <c r="H46">
        <v>0.25</v>
      </c>
      <c r="J46">
        <f>$B$106-Table1[[#This Row],[Coal]]</f>
        <v>101.36</v>
      </c>
      <c r="K46">
        <f>$C$106-Table1[[#This Row],[Oil]]</f>
        <v>76.38</v>
      </c>
      <c r="L46">
        <f>$D$106-Table1[[#This Row],[Gas]]</f>
        <v>68.989999999999995</v>
      </c>
      <c r="M46">
        <f>$E$106-Table1[[#This Row],[Renewables]]</f>
        <v>135.96999999999997</v>
      </c>
      <c r="N46">
        <f>$F$106-Table1[[#This Row],[Bioenergy]]</f>
        <v>1.9400000000000048</v>
      </c>
      <c r="O46">
        <f>$G$106-Table1[[#This Row],[Nuclear]]</f>
        <v>3.3800000000000008</v>
      </c>
    </row>
    <row r="47" spans="1:15">
      <c r="A47">
        <v>2044</v>
      </c>
      <c r="B47">
        <v>55.88</v>
      </c>
      <c r="C47">
        <v>116.95</v>
      </c>
      <c r="D47">
        <v>80.11</v>
      </c>
      <c r="E47">
        <v>186.85</v>
      </c>
      <c r="F47">
        <v>60.63</v>
      </c>
      <c r="G47">
        <v>11.43</v>
      </c>
      <c r="H47">
        <v>0.25</v>
      </c>
      <c r="J47">
        <f>$B$106-Table1[[#This Row],[Coal]]</f>
        <v>101.81</v>
      </c>
      <c r="K47">
        <f>$C$106-Table1[[#This Row],[Oil]]</f>
        <v>80.499999999999986</v>
      </c>
      <c r="L47">
        <f>$D$106-Table1[[#This Row],[Gas]]</f>
        <v>68.709999999999994</v>
      </c>
      <c r="M47">
        <f>$E$106-Table1[[#This Row],[Renewables]]</f>
        <v>129.04999999999998</v>
      </c>
      <c r="N47">
        <f>$F$106-Table1[[#This Row],[Bioenergy]]</f>
        <v>1.6799999999999997</v>
      </c>
      <c r="O47">
        <f>$G$106-Table1[[#This Row],[Nuclear]]</f>
        <v>2.99</v>
      </c>
    </row>
    <row r="48" spans="1:15">
      <c r="A48">
        <v>2045</v>
      </c>
      <c r="B48">
        <v>55.01</v>
      </c>
      <c r="C48">
        <v>112.94</v>
      </c>
      <c r="D48">
        <v>80.150000000000006</v>
      </c>
      <c r="E48">
        <v>194.55</v>
      </c>
      <c r="F48">
        <v>60.81</v>
      </c>
      <c r="G48">
        <v>11.58</v>
      </c>
      <c r="H48">
        <v>0.25</v>
      </c>
      <c r="J48">
        <f>$B$106-Table1[[#This Row],[Coal]]</f>
        <v>102.68</v>
      </c>
      <c r="K48">
        <f>$C$106-Table1[[#This Row],[Oil]]</f>
        <v>84.509999999999991</v>
      </c>
      <c r="L48">
        <f>$D$106-Table1[[#This Row],[Gas]]</f>
        <v>68.669999999999987</v>
      </c>
      <c r="M48">
        <f>$E$106-Table1[[#This Row],[Renewables]]</f>
        <v>121.34999999999997</v>
      </c>
      <c r="N48">
        <f>$F$106-Table1[[#This Row],[Bioenergy]]</f>
        <v>1.5</v>
      </c>
      <c r="O48">
        <f>$G$106-Table1[[#This Row],[Nuclear]]</f>
        <v>2.84</v>
      </c>
    </row>
    <row r="49" spans="1:15">
      <c r="A49">
        <v>2046</v>
      </c>
      <c r="B49">
        <v>53.7</v>
      </c>
      <c r="C49">
        <v>109.04</v>
      </c>
      <c r="D49">
        <v>79.77</v>
      </c>
      <c r="E49">
        <v>202.42</v>
      </c>
      <c r="F49">
        <v>60.83</v>
      </c>
      <c r="G49">
        <v>11.6</v>
      </c>
      <c r="H49">
        <v>0.25</v>
      </c>
      <c r="J49">
        <f>$B$106-Table1[[#This Row],[Coal]]</f>
        <v>103.99</v>
      </c>
      <c r="K49">
        <f>$C$106-Table1[[#This Row],[Oil]]</f>
        <v>88.409999999999982</v>
      </c>
      <c r="L49">
        <f>$D$106-Table1[[#This Row],[Gas]]</f>
        <v>69.05</v>
      </c>
      <c r="M49">
        <f>$E$106-Table1[[#This Row],[Renewables]]</f>
        <v>113.47999999999999</v>
      </c>
      <c r="N49">
        <f>$F$106-Table1[[#This Row],[Bioenergy]]</f>
        <v>1.480000000000004</v>
      </c>
      <c r="O49">
        <f>$G$106-Table1[[#This Row],[Nuclear]]</f>
        <v>2.8200000000000003</v>
      </c>
    </row>
    <row r="50" spans="1:15">
      <c r="A50">
        <v>2047</v>
      </c>
      <c r="B50">
        <v>52.2</v>
      </c>
      <c r="C50">
        <v>105.28</v>
      </c>
      <c r="D50">
        <v>79.16</v>
      </c>
      <c r="E50">
        <v>209.73</v>
      </c>
      <c r="F50">
        <v>60.74</v>
      </c>
      <c r="G50">
        <v>11.59</v>
      </c>
      <c r="H50">
        <v>0.25</v>
      </c>
      <c r="J50">
        <f>$B$106-Table1[[#This Row],[Coal]]</f>
        <v>105.49</v>
      </c>
      <c r="K50">
        <f>$C$106-Table1[[#This Row],[Oil]]</f>
        <v>92.169999999999987</v>
      </c>
      <c r="L50">
        <f>$D$106-Table1[[#This Row],[Gas]]</f>
        <v>69.66</v>
      </c>
      <c r="M50">
        <f>$E$106-Table1[[#This Row],[Renewables]]</f>
        <v>106.16999999999999</v>
      </c>
      <c r="N50">
        <f>$F$106-Table1[[#This Row],[Bioenergy]]</f>
        <v>1.5700000000000003</v>
      </c>
      <c r="O50">
        <f>$G$106-Table1[[#This Row],[Nuclear]]</f>
        <v>2.83</v>
      </c>
    </row>
    <row r="51" spans="1:15">
      <c r="A51">
        <v>2048</v>
      </c>
      <c r="B51">
        <v>50.81</v>
      </c>
      <c r="C51">
        <v>101.66</v>
      </c>
      <c r="D51">
        <v>78.61</v>
      </c>
      <c r="E51">
        <v>216.11</v>
      </c>
      <c r="F51">
        <v>60.57</v>
      </c>
      <c r="G51">
        <v>11.63</v>
      </c>
      <c r="H51">
        <v>0.25</v>
      </c>
      <c r="J51">
        <f>$B$106-Table1[[#This Row],[Coal]]</f>
        <v>106.88</v>
      </c>
      <c r="K51">
        <f>$C$106-Table1[[#This Row],[Oil]]</f>
        <v>95.789999999999992</v>
      </c>
      <c r="L51">
        <f>$D$106-Table1[[#This Row],[Gas]]</f>
        <v>70.209999999999994</v>
      </c>
      <c r="M51">
        <f>$E$106-Table1[[#This Row],[Renewables]]</f>
        <v>99.789999999999964</v>
      </c>
      <c r="N51">
        <f>$F$106-Table1[[#This Row],[Bioenergy]]</f>
        <v>1.740000000000002</v>
      </c>
      <c r="O51">
        <f>$G$106-Table1[[#This Row],[Nuclear]]</f>
        <v>2.7899999999999991</v>
      </c>
    </row>
    <row r="52" spans="1:15">
      <c r="A52">
        <v>2049</v>
      </c>
      <c r="B52">
        <v>49.69</v>
      </c>
      <c r="C52">
        <v>98.2</v>
      </c>
      <c r="D52">
        <v>78.28</v>
      </c>
      <c r="E52">
        <v>221.63</v>
      </c>
      <c r="F52">
        <v>60.38</v>
      </c>
      <c r="G52">
        <v>11.76</v>
      </c>
      <c r="H52">
        <v>0.25</v>
      </c>
      <c r="J52">
        <f>$B$106-Table1[[#This Row],[Coal]]</f>
        <v>108</v>
      </c>
      <c r="K52">
        <f>$C$106-Table1[[#This Row],[Oil]]</f>
        <v>99.249999999999986</v>
      </c>
      <c r="L52">
        <f>$D$106-Table1[[#This Row],[Gas]]</f>
        <v>70.539999999999992</v>
      </c>
      <c r="M52">
        <f>$E$106-Table1[[#This Row],[Renewables]]</f>
        <v>94.269999999999982</v>
      </c>
      <c r="N52">
        <f>$F$106-Table1[[#This Row],[Bioenergy]]</f>
        <v>1.9299999999999997</v>
      </c>
      <c r="O52">
        <f>$G$106-Table1[[#This Row],[Nuclear]]</f>
        <v>2.66</v>
      </c>
    </row>
    <row r="53" spans="1:15">
      <c r="A53">
        <v>2050</v>
      </c>
      <c r="B53">
        <v>48.86</v>
      </c>
      <c r="C53">
        <v>94.89</v>
      </c>
      <c r="D53">
        <v>78.13</v>
      </c>
      <c r="E53">
        <v>226.53</v>
      </c>
      <c r="F53">
        <v>60.16</v>
      </c>
      <c r="G53">
        <v>11.97</v>
      </c>
      <c r="H53">
        <v>0.25</v>
      </c>
      <c r="J53">
        <f>$B$106-Table1[[#This Row],[Coal]]</f>
        <v>108.83</v>
      </c>
      <c r="K53">
        <f>$C$106-Table1[[#This Row],[Oil]]</f>
        <v>102.55999999999999</v>
      </c>
      <c r="L53">
        <f>$D$106-Table1[[#This Row],[Gas]]</f>
        <v>70.69</v>
      </c>
      <c r="M53">
        <f>$E$106-Table1[[#This Row],[Renewables]]</f>
        <v>89.369999999999976</v>
      </c>
      <c r="N53">
        <f>$F$106-Table1[[#This Row],[Bioenergy]]</f>
        <v>2.1500000000000057</v>
      </c>
      <c r="O53">
        <f>$G$106-Table1[[#This Row],[Nuclear]]</f>
        <v>2.4499999999999993</v>
      </c>
    </row>
    <row r="54" spans="1:15">
      <c r="A54">
        <v>2051</v>
      </c>
      <c r="B54">
        <v>48.24</v>
      </c>
      <c r="C54">
        <v>91.72</v>
      </c>
      <c r="D54">
        <v>77.97</v>
      </c>
      <c r="E54">
        <v>231.08</v>
      </c>
      <c r="F54">
        <v>59.92</v>
      </c>
      <c r="G54">
        <v>12.24</v>
      </c>
      <c r="H54">
        <v>0.25</v>
      </c>
      <c r="J54">
        <f>$B$106-Table1[[#This Row],[Coal]]</f>
        <v>109.44999999999999</v>
      </c>
      <c r="K54">
        <f>$C$106-Table1[[#This Row],[Oil]]</f>
        <v>105.72999999999999</v>
      </c>
      <c r="L54">
        <f>$D$106-Table1[[#This Row],[Gas]]</f>
        <v>70.849999999999994</v>
      </c>
      <c r="M54">
        <f>$E$106-Table1[[#This Row],[Renewables]]</f>
        <v>84.819999999999965</v>
      </c>
      <c r="N54">
        <f>$F$106-Table1[[#This Row],[Bioenergy]]</f>
        <v>2.3900000000000006</v>
      </c>
      <c r="O54">
        <f>$G$106-Table1[[#This Row],[Nuclear]]</f>
        <v>2.1799999999999997</v>
      </c>
    </row>
    <row r="55" spans="1:15">
      <c r="A55">
        <v>2052</v>
      </c>
      <c r="B55">
        <v>47.71</v>
      </c>
      <c r="C55">
        <v>88.68</v>
      </c>
      <c r="D55">
        <v>77.58</v>
      </c>
      <c r="E55">
        <v>235.4</v>
      </c>
      <c r="F55">
        <v>59.63</v>
      </c>
      <c r="G55">
        <v>12.53</v>
      </c>
      <c r="H55">
        <v>0.25</v>
      </c>
      <c r="J55">
        <f>$B$106-Table1[[#This Row],[Coal]]</f>
        <v>109.97999999999999</v>
      </c>
      <c r="K55">
        <f>$C$106-Table1[[#This Row],[Oil]]</f>
        <v>108.76999999999998</v>
      </c>
      <c r="L55">
        <f>$D$106-Table1[[#This Row],[Gas]]</f>
        <v>71.239999999999995</v>
      </c>
      <c r="M55">
        <f>$E$106-Table1[[#This Row],[Renewables]]</f>
        <v>80.499999999999972</v>
      </c>
      <c r="N55">
        <f>$F$106-Table1[[#This Row],[Bioenergy]]</f>
        <v>2.6799999999999997</v>
      </c>
      <c r="O55">
        <f>$G$106-Table1[[#This Row],[Nuclear]]</f>
        <v>1.8900000000000006</v>
      </c>
    </row>
    <row r="56" spans="1:15">
      <c r="A56">
        <v>2053</v>
      </c>
      <c r="B56">
        <v>47.19</v>
      </c>
      <c r="C56">
        <v>85.77</v>
      </c>
      <c r="D56">
        <v>76.84</v>
      </c>
      <c r="E56">
        <v>239.52</v>
      </c>
      <c r="F56">
        <v>59.27</v>
      </c>
      <c r="G56">
        <v>12.84</v>
      </c>
      <c r="H56">
        <v>0.25</v>
      </c>
      <c r="J56">
        <f>$B$106-Table1[[#This Row],[Coal]]</f>
        <v>110.5</v>
      </c>
      <c r="K56">
        <f>$C$106-Table1[[#This Row],[Oil]]</f>
        <v>111.67999999999999</v>
      </c>
      <c r="L56">
        <f>$D$106-Table1[[#This Row],[Gas]]</f>
        <v>71.97999999999999</v>
      </c>
      <c r="M56">
        <f>$E$106-Table1[[#This Row],[Renewables]]</f>
        <v>76.379999999999967</v>
      </c>
      <c r="N56">
        <f>$F$106-Table1[[#This Row],[Bioenergy]]</f>
        <v>3.0399999999999991</v>
      </c>
      <c r="O56">
        <f>$G$106-Table1[[#This Row],[Nuclear]]</f>
        <v>1.58</v>
      </c>
    </row>
    <row r="57" spans="1:15">
      <c r="A57">
        <v>2054</v>
      </c>
      <c r="B57">
        <v>46.63</v>
      </c>
      <c r="C57">
        <v>82.97</v>
      </c>
      <c r="D57">
        <v>75.819999999999993</v>
      </c>
      <c r="E57">
        <v>243.4</v>
      </c>
      <c r="F57">
        <v>58.87</v>
      </c>
      <c r="G57">
        <v>13.14</v>
      </c>
      <c r="H57">
        <v>0.25</v>
      </c>
      <c r="J57">
        <f>$B$106-Table1[[#This Row],[Coal]]</f>
        <v>111.06</v>
      </c>
      <c r="K57">
        <f>$C$106-Table1[[#This Row],[Oil]]</f>
        <v>114.47999999999999</v>
      </c>
      <c r="L57">
        <f>$D$106-Table1[[#This Row],[Gas]]</f>
        <v>73</v>
      </c>
      <c r="M57">
        <f>$E$106-Table1[[#This Row],[Renewables]]</f>
        <v>72.499999999999972</v>
      </c>
      <c r="N57">
        <f>$F$106-Table1[[#This Row],[Bioenergy]]</f>
        <v>3.4400000000000048</v>
      </c>
      <c r="O57">
        <f>$G$106-Table1[[#This Row],[Nuclear]]</f>
        <v>1.2799999999999994</v>
      </c>
    </row>
    <row r="58" spans="1:15">
      <c r="A58">
        <v>2055</v>
      </c>
      <c r="B58">
        <v>46</v>
      </c>
      <c r="C58">
        <v>80.27</v>
      </c>
      <c r="D58">
        <v>74.62</v>
      </c>
      <c r="E58">
        <v>247.01</v>
      </c>
      <c r="F58">
        <v>58.42</v>
      </c>
      <c r="G58">
        <v>13.41</v>
      </c>
      <c r="H58">
        <v>0.25</v>
      </c>
      <c r="J58">
        <f>$B$106-Table1[[#This Row],[Coal]]</f>
        <v>111.69</v>
      </c>
      <c r="K58">
        <f>$C$106-Table1[[#This Row],[Oil]]</f>
        <v>117.17999999999999</v>
      </c>
      <c r="L58">
        <f>$D$106-Table1[[#This Row],[Gas]]</f>
        <v>74.199999999999989</v>
      </c>
      <c r="M58">
        <f>$E$106-Table1[[#This Row],[Renewables]]</f>
        <v>68.889999999999986</v>
      </c>
      <c r="N58">
        <f>$F$106-Table1[[#This Row],[Bioenergy]]</f>
        <v>3.8900000000000006</v>
      </c>
      <c r="O58">
        <f>$G$106-Table1[[#This Row],[Nuclear]]</f>
        <v>1.0099999999999998</v>
      </c>
    </row>
    <row r="59" spans="1:15">
      <c r="A59">
        <v>2056</v>
      </c>
      <c r="B59">
        <v>45.32</v>
      </c>
      <c r="C59">
        <v>77.680000000000007</v>
      </c>
      <c r="D59">
        <v>73.39</v>
      </c>
      <c r="E59">
        <v>250.36</v>
      </c>
      <c r="F59">
        <v>57.96</v>
      </c>
      <c r="G59">
        <v>13.64</v>
      </c>
      <c r="H59">
        <v>0.25</v>
      </c>
      <c r="J59">
        <f>$B$106-Table1[[#This Row],[Coal]]</f>
        <v>112.37</v>
      </c>
      <c r="K59">
        <f>$C$106-Table1[[#This Row],[Oil]]</f>
        <v>119.76999999999998</v>
      </c>
      <c r="L59">
        <f>$D$106-Table1[[#This Row],[Gas]]</f>
        <v>75.429999999999993</v>
      </c>
      <c r="M59">
        <f>$E$106-Table1[[#This Row],[Renewables]]</f>
        <v>65.539999999999964</v>
      </c>
      <c r="N59">
        <f>$F$106-Table1[[#This Row],[Bioenergy]]</f>
        <v>4.3500000000000014</v>
      </c>
      <c r="O59">
        <f>$G$106-Table1[[#This Row],[Nuclear]]</f>
        <v>0.77999999999999936</v>
      </c>
    </row>
    <row r="60" spans="1:15">
      <c r="A60">
        <v>2057</v>
      </c>
      <c r="B60">
        <v>44.61</v>
      </c>
      <c r="C60">
        <v>75.19</v>
      </c>
      <c r="D60">
        <v>72.22</v>
      </c>
      <c r="E60">
        <v>253.44</v>
      </c>
      <c r="F60">
        <v>57.49</v>
      </c>
      <c r="G60">
        <v>13.85</v>
      </c>
      <c r="H60">
        <v>0.25</v>
      </c>
      <c r="J60">
        <f>$B$106-Table1[[#This Row],[Coal]]</f>
        <v>113.08</v>
      </c>
      <c r="K60">
        <f>$C$106-Table1[[#This Row],[Oil]]</f>
        <v>122.25999999999999</v>
      </c>
      <c r="L60">
        <f>$D$106-Table1[[#This Row],[Gas]]</f>
        <v>76.599999999999994</v>
      </c>
      <c r="M60">
        <f>$E$106-Table1[[#This Row],[Renewables]]</f>
        <v>62.45999999999998</v>
      </c>
      <c r="N60">
        <f>$F$106-Table1[[#This Row],[Bioenergy]]</f>
        <v>4.82</v>
      </c>
      <c r="O60">
        <f>$G$106-Table1[[#This Row],[Nuclear]]</f>
        <v>0.57000000000000028</v>
      </c>
    </row>
    <row r="61" spans="1:15">
      <c r="A61">
        <v>2058</v>
      </c>
      <c r="B61">
        <v>43.9</v>
      </c>
      <c r="C61">
        <v>72.8</v>
      </c>
      <c r="D61">
        <v>71.17</v>
      </c>
      <c r="E61">
        <v>256.31</v>
      </c>
      <c r="F61">
        <v>57.02</v>
      </c>
      <c r="G61">
        <v>14.02</v>
      </c>
      <c r="H61">
        <v>0.25</v>
      </c>
      <c r="J61">
        <f>$B$106-Table1[[#This Row],[Coal]]</f>
        <v>113.78999999999999</v>
      </c>
      <c r="K61">
        <f>$C$106-Table1[[#This Row],[Oil]]</f>
        <v>124.64999999999999</v>
      </c>
      <c r="L61">
        <f>$D$106-Table1[[#This Row],[Gas]]</f>
        <v>77.649999999999991</v>
      </c>
      <c r="M61">
        <f>$E$106-Table1[[#This Row],[Renewables]]</f>
        <v>59.589999999999975</v>
      </c>
      <c r="N61">
        <f>$F$106-Table1[[#This Row],[Bioenergy]]</f>
        <v>5.2899999999999991</v>
      </c>
      <c r="O61">
        <f>$G$106-Table1[[#This Row],[Nuclear]]</f>
        <v>0.40000000000000036</v>
      </c>
    </row>
    <row r="62" spans="1:15">
      <c r="A62">
        <v>2059</v>
      </c>
      <c r="B62">
        <v>43.2</v>
      </c>
      <c r="C62">
        <v>70.489999999999995</v>
      </c>
      <c r="D62">
        <v>70.25</v>
      </c>
      <c r="E62">
        <v>259.01</v>
      </c>
      <c r="F62">
        <v>56.57</v>
      </c>
      <c r="G62">
        <v>14.17</v>
      </c>
      <c r="H62">
        <v>0.25</v>
      </c>
      <c r="J62">
        <f>$B$106-Table1[[#This Row],[Coal]]</f>
        <v>114.49</v>
      </c>
      <c r="K62">
        <f>$C$106-Table1[[#This Row],[Oil]]</f>
        <v>126.96</v>
      </c>
      <c r="L62">
        <f>$D$106-Table1[[#This Row],[Gas]]</f>
        <v>78.569999999999993</v>
      </c>
      <c r="M62">
        <f>$E$106-Table1[[#This Row],[Renewables]]</f>
        <v>56.889999999999986</v>
      </c>
      <c r="N62">
        <f>$F$106-Table1[[#This Row],[Bioenergy]]</f>
        <v>5.740000000000002</v>
      </c>
      <c r="O62">
        <f>$G$106-Table1[[#This Row],[Nuclear]]</f>
        <v>0.25</v>
      </c>
    </row>
    <row r="63" spans="1:15">
      <c r="A63">
        <v>2060</v>
      </c>
      <c r="B63">
        <v>42.51</v>
      </c>
      <c r="C63">
        <v>68.28</v>
      </c>
      <c r="D63">
        <v>69.45</v>
      </c>
      <c r="E63">
        <v>261.57</v>
      </c>
      <c r="F63">
        <v>56.12</v>
      </c>
      <c r="G63">
        <v>14.28</v>
      </c>
      <c r="H63">
        <v>0.25</v>
      </c>
      <c r="J63">
        <f>$B$106-Table1[[#This Row],[Coal]]</f>
        <v>115.18</v>
      </c>
      <c r="K63">
        <f>$C$106-Table1[[#This Row],[Oil]]</f>
        <v>129.16999999999999</v>
      </c>
      <c r="L63">
        <f>$D$106-Table1[[#This Row],[Gas]]</f>
        <v>79.36999999999999</v>
      </c>
      <c r="M63">
        <f>$E$106-Table1[[#This Row],[Renewables]]</f>
        <v>54.329999999999984</v>
      </c>
      <c r="N63">
        <f>$F$106-Table1[[#This Row],[Bioenergy]]</f>
        <v>6.1900000000000048</v>
      </c>
      <c r="O63">
        <f>$G$106-Table1[[#This Row],[Nuclear]]</f>
        <v>0.14000000000000057</v>
      </c>
    </row>
    <row r="64" spans="1:15">
      <c r="A64">
        <v>2061</v>
      </c>
      <c r="B64">
        <v>41.84</v>
      </c>
      <c r="C64">
        <v>66.14</v>
      </c>
      <c r="D64">
        <v>68.72</v>
      </c>
      <c r="E64">
        <v>264</v>
      </c>
      <c r="F64">
        <v>55.68</v>
      </c>
      <c r="G64">
        <v>14.37</v>
      </c>
      <c r="H64">
        <v>0.25</v>
      </c>
      <c r="J64">
        <f>$B$106-Table1[[#This Row],[Coal]]</f>
        <v>115.85</v>
      </c>
      <c r="K64">
        <f>$C$106-Table1[[#This Row],[Oil]]</f>
        <v>131.31</v>
      </c>
      <c r="L64">
        <f>$D$106-Table1[[#This Row],[Gas]]</f>
        <v>80.099999999999994</v>
      </c>
      <c r="M64">
        <f>$E$106-Table1[[#This Row],[Renewables]]</f>
        <v>51.899999999999977</v>
      </c>
      <c r="N64">
        <f>$F$106-Table1[[#This Row],[Bioenergy]]</f>
        <v>6.6300000000000026</v>
      </c>
      <c r="O64">
        <f>$G$106-Table1[[#This Row],[Nuclear]]</f>
        <v>5.0000000000000711E-2</v>
      </c>
    </row>
    <row r="65" spans="1:15">
      <c r="A65">
        <v>2062</v>
      </c>
      <c r="B65">
        <v>41.17</v>
      </c>
      <c r="C65">
        <v>64.08</v>
      </c>
      <c r="D65">
        <v>68.03</v>
      </c>
      <c r="E65">
        <v>266.31</v>
      </c>
      <c r="F65">
        <v>55.24</v>
      </c>
      <c r="G65">
        <v>14.41</v>
      </c>
      <c r="H65">
        <v>0.25</v>
      </c>
      <c r="J65">
        <f>$B$106-Table1[[#This Row],[Coal]]</f>
        <v>116.52</v>
      </c>
      <c r="K65">
        <f>$C$106-Table1[[#This Row],[Oil]]</f>
        <v>133.37</v>
      </c>
      <c r="L65">
        <f>$D$106-Table1[[#This Row],[Gas]]</f>
        <v>80.789999999999992</v>
      </c>
      <c r="M65">
        <f>$E$106-Table1[[#This Row],[Renewables]]</f>
        <v>49.589999999999975</v>
      </c>
      <c r="N65">
        <f>$F$106-Table1[[#This Row],[Bioenergy]]</f>
        <v>7.07</v>
      </c>
      <c r="O65">
        <f>$G$106-Table1[[#This Row],[Nuclear]]</f>
        <v>9.9999999999997868E-3</v>
      </c>
    </row>
    <row r="66" spans="1:15">
      <c r="A66">
        <v>2063</v>
      </c>
      <c r="B66">
        <v>40.520000000000003</v>
      </c>
      <c r="C66">
        <v>62.11</v>
      </c>
      <c r="D66">
        <v>67.37</v>
      </c>
      <c r="E66">
        <v>268.49</v>
      </c>
      <c r="F66">
        <v>54.8</v>
      </c>
      <c r="G66">
        <v>14.42</v>
      </c>
      <c r="H66">
        <v>0.25</v>
      </c>
      <c r="J66">
        <f>$B$106-Table1[[#This Row],[Coal]]</f>
        <v>117.16999999999999</v>
      </c>
      <c r="K66">
        <f>$C$106-Table1[[#This Row],[Oil]]</f>
        <v>135.33999999999997</v>
      </c>
      <c r="L66">
        <f>$D$106-Table1[[#This Row],[Gas]]</f>
        <v>81.449999999999989</v>
      </c>
      <c r="M66">
        <f>$E$106-Table1[[#This Row],[Renewables]]</f>
        <v>47.409999999999968</v>
      </c>
      <c r="N66">
        <f>$F$106-Table1[[#This Row],[Bioenergy]]</f>
        <v>7.5100000000000051</v>
      </c>
      <c r="O66">
        <f>$G$106-Table1[[#This Row],[Nuclear]]</f>
        <v>0</v>
      </c>
    </row>
    <row r="67" spans="1:15">
      <c r="A67">
        <v>2064</v>
      </c>
      <c r="B67">
        <v>39.89</v>
      </c>
      <c r="C67">
        <v>60.22</v>
      </c>
      <c r="D67">
        <v>66.739999999999995</v>
      </c>
      <c r="E67">
        <v>270.55</v>
      </c>
      <c r="F67">
        <v>54.36</v>
      </c>
      <c r="G67">
        <v>14.39</v>
      </c>
      <c r="H67">
        <v>0.25</v>
      </c>
      <c r="J67">
        <f>$B$106-Table1[[#This Row],[Coal]]</f>
        <v>117.8</v>
      </c>
      <c r="K67">
        <f>$C$106-Table1[[#This Row],[Oil]]</f>
        <v>137.22999999999999</v>
      </c>
      <c r="L67">
        <f>$D$106-Table1[[#This Row],[Gas]]</f>
        <v>82.08</v>
      </c>
      <c r="M67">
        <f>$E$106-Table1[[#This Row],[Renewables]]</f>
        <v>45.349999999999966</v>
      </c>
      <c r="N67">
        <f>$F$106-Table1[[#This Row],[Bioenergy]]</f>
        <v>7.9500000000000028</v>
      </c>
      <c r="O67">
        <f>$G$106-Table1[[#This Row],[Nuclear]]</f>
        <v>2.9999999999999361E-2</v>
      </c>
    </row>
    <row r="68" spans="1:15">
      <c r="A68">
        <v>2065</v>
      </c>
      <c r="B68">
        <v>39.299999999999997</v>
      </c>
      <c r="C68">
        <v>58.41</v>
      </c>
      <c r="D68">
        <v>66.11</v>
      </c>
      <c r="E68">
        <v>272.51</v>
      </c>
      <c r="F68">
        <v>53.92</v>
      </c>
      <c r="G68">
        <v>14.33</v>
      </c>
      <c r="H68">
        <v>0.25</v>
      </c>
      <c r="J68">
        <f>$B$106-Table1[[#This Row],[Coal]]</f>
        <v>118.39</v>
      </c>
      <c r="K68">
        <f>$C$106-Table1[[#This Row],[Oil]]</f>
        <v>139.04</v>
      </c>
      <c r="L68">
        <f>$D$106-Table1[[#This Row],[Gas]]</f>
        <v>82.71</v>
      </c>
      <c r="M68">
        <f>$E$106-Table1[[#This Row],[Renewables]]</f>
        <v>43.389999999999986</v>
      </c>
      <c r="N68">
        <f>$F$106-Table1[[#This Row],[Bioenergy]]</f>
        <v>8.39</v>
      </c>
      <c r="O68">
        <f>$G$106-Table1[[#This Row],[Nuclear]]</f>
        <v>8.9999999999999858E-2</v>
      </c>
    </row>
    <row r="69" spans="1:15">
      <c r="A69">
        <v>2066</v>
      </c>
      <c r="B69">
        <v>38.75</v>
      </c>
      <c r="C69">
        <v>56.7</v>
      </c>
      <c r="D69">
        <v>65.52</v>
      </c>
      <c r="E69">
        <v>274.39999999999998</v>
      </c>
      <c r="F69">
        <v>53.49</v>
      </c>
      <c r="G69">
        <v>14.25</v>
      </c>
      <c r="H69">
        <v>0.25</v>
      </c>
      <c r="J69">
        <f>$B$106-Table1[[#This Row],[Coal]]</f>
        <v>118.94</v>
      </c>
      <c r="K69">
        <f>$C$106-Table1[[#This Row],[Oil]]</f>
        <v>140.75</v>
      </c>
      <c r="L69">
        <f>$D$106-Table1[[#This Row],[Gas]]</f>
        <v>83.3</v>
      </c>
      <c r="M69">
        <f>$E$106-Table1[[#This Row],[Renewables]]</f>
        <v>41.5</v>
      </c>
      <c r="N69">
        <f>$F$106-Table1[[#This Row],[Bioenergy]]</f>
        <v>8.82</v>
      </c>
      <c r="O69">
        <f>$G$106-Table1[[#This Row],[Nuclear]]</f>
        <v>0.16999999999999993</v>
      </c>
    </row>
    <row r="70" spans="1:15">
      <c r="A70">
        <v>2067</v>
      </c>
      <c r="B70">
        <v>38.24</v>
      </c>
      <c r="C70">
        <v>55.06</v>
      </c>
      <c r="D70">
        <v>64.95</v>
      </c>
      <c r="E70">
        <v>276.23</v>
      </c>
      <c r="F70">
        <v>53.05</v>
      </c>
      <c r="G70">
        <v>14.14</v>
      </c>
      <c r="H70">
        <v>0.25</v>
      </c>
      <c r="J70">
        <f>$B$106-Table1[[#This Row],[Coal]]</f>
        <v>119.44999999999999</v>
      </c>
      <c r="K70">
        <f>$C$106-Table1[[#This Row],[Oil]]</f>
        <v>142.38999999999999</v>
      </c>
      <c r="L70">
        <f>$D$106-Table1[[#This Row],[Gas]]</f>
        <v>83.86999999999999</v>
      </c>
      <c r="M70">
        <f>$E$106-Table1[[#This Row],[Renewables]]</f>
        <v>39.669999999999959</v>
      </c>
      <c r="N70">
        <f>$F$106-Table1[[#This Row],[Bioenergy]]</f>
        <v>9.2600000000000051</v>
      </c>
      <c r="O70">
        <f>$G$106-Table1[[#This Row],[Nuclear]]</f>
        <v>0.27999999999999936</v>
      </c>
    </row>
    <row r="71" spans="1:15">
      <c r="A71">
        <v>2068</v>
      </c>
      <c r="B71">
        <v>37.76</v>
      </c>
      <c r="C71">
        <v>53.5</v>
      </c>
      <c r="D71">
        <v>64.41</v>
      </c>
      <c r="E71">
        <v>277.99</v>
      </c>
      <c r="F71">
        <v>52.63</v>
      </c>
      <c r="G71">
        <v>14.02</v>
      </c>
      <c r="H71">
        <v>0.25</v>
      </c>
      <c r="J71">
        <f>$B$106-Table1[[#This Row],[Coal]]</f>
        <v>119.93</v>
      </c>
      <c r="K71">
        <f>$C$106-Table1[[#This Row],[Oil]]</f>
        <v>143.94999999999999</v>
      </c>
      <c r="L71">
        <f>$D$106-Table1[[#This Row],[Gas]]</f>
        <v>84.41</v>
      </c>
      <c r="M71">
        <f>$E$106-Table1[[#This Row],[Renewables]]</f>
        <v>37.909999999999968</v>
      </c>
      <c r="N71">
        <f>$F$106-Table1[[#This Row],[Bioenergy]]</f>
        <v>9.68</v>
      </c>
      <c r="O71">
        <f>$G$106-Table1[[#This Row],[Nuclear]]</f>
        <v>0.40000000000000036</v>
      </c>
    </row>
    <row r="72" spans="1:15">
      <c r="A72">
        <v>2069</v>
      </c>
      <c r="B72">
        <v>37.32</v>
      </c>
      <c r="C72">
        <v>52.03</v>
      </c>
      <c r="D72">
        <v>63.91</v>
      </c>
      <c r="E72">
        <v>279.70999999999998</v>
      </c>
      <c r="F72">
        <v>52.2</v>
      </c>
      <c r="G72">
        <v>13.9</v>
      </c>
      <c r="H72">
        <v>0.25</v>
      </c>
      <c r="J72">
        <f>$B$106-Table1[[#This Row],[Coal]]</f>
        <v>120.37</v>
      </c>
      <c r="K72">
        <f>$C$106-Table1[[#This Row],[Oil]]</f>
        <v>145.41999999999999</v>
      </c>
      <c r="L72">
        <f>$D$106-Table1[[#This Row],[Gas]]</f>
        <v>84.91</v>
      </c>
      <c r="M72">
        <f>$E$106-Table1[[#This Row],[Renewables]]</f>
        <v>36.19</v>
      </c>
      <c r="N72">
        <f>$F$106-Table1[[#This Row],[Bioenergy]]</f>
        <v>10.11</v>
      </c>
      <c r="O72">
        <f>$G$106-Table1[[#This Row],[Nuclear]]</f>
        <v>0.51999999999999957</v>
      </c>
    </row>
    <row r="73" spans="1:15">
      <c r="A73">
        <v>2070</v>
      </c>
      <c r="B73">
        <v>36.9</v>
      </c>
      <c r="C73">
        <v>50.62</v>
      </c>
      <c r="D73">
        <v>63.43</v>
      </c>
      <c r="E73">
        <v>281.37</v>
      </c>
      <c r="F73">
        <v>51.79</v>
      </c>
      <c r="G73">
        <v>13.76</v>
      </c>
      <c r="H73">
        <v>0.25</v>
      </c>
      <c r="J73">
        <f>$B$106-Table1[[#This Row],[Coal]]</f>
        <v>120.78999999999999</v>
      </c>
      <c r="K73">
        <f>$C$106-Table1[[#This Row],[Oil]]</f>
        <v>146.82999999999998</v>
      </c>
      <c r="L73">
        <f>$D$106-Table1[[#This Row],[Gas]]</f>
        <v>85.389999999999986</v>
      </c>
      <c r="M73">
        <f>$E$106-Table1[[#This Row],[Renewables]]</f>
        <v>34.529999999999973</v>
      </c>
      <c r="N73">
        <f>$F$106-Table1[[#This Row],[Bioenergy]]</f>
        <v>10.520000000000003</v>
      </c>
      <c r="O73">
        <f>$G$106-Table1[[#This Row],[Nuclear]]</f>
        <v>0.66000000000000014</v>
      </c>
    </row>
    <row r="74" spans="1:15">
      <c r="A74">
        <v>2071</v>
      </c>
      <c r="B74">
        <v>36.49</v>
      </c>
      <c r="C74">
        <v>49.28</v>
      </c>
      <c r="D74">
        <v>63</v>
      </c>
      <c r="E74">
        <v>282.97000000000003</v>
      </c>
      <c r="F74">
        <v>51.38</v>
      </c>
      <c r="G74">
        <v>13.63</v>
      </c>
      <c r="H74">
        <v>0.25</v>
      </c>
      <c r="J74">
        <f>$B$106-Table1[[#This Row],[Coal]]</f>
        <v>121.19999999999999</v>
      </c>
      <c r="K74">
        <f>$C$106-Table1[[#This Row],[Oil]]</f>
        <v>148.16999999999999</v>
      </c>
      <c r="L74">
        <f>$D$106-Table1[[#This Row],[Gas]]</f>
        <v>85.82</v>
      </c>
      <c r="M74">
        <f>$E$106-Table1[[#This Row],[Renewables]]</f>
        <v>32.92999999999995</v>
      </c>
      <c r="N74">
        <f>$F$106-Table1[[#This Row],[Bioenergy]]</f>
        <v>10.93</v>
      </c>
      <c r="O74">
        <f>$G$106-Table1[[#This Row],[Nuclear]]</f>
        <v>0.78999999999999915</v>
      </c>
    </row>
    <row r="75" spans="1:15">
      <c r="A75">
        <v>2072</v>
      </c>
      <c r="B75">
        <v>36.090000000000003</v>
      </c>
      <c r="C75">
        <v>48.01</v>
      </c>
      <c r="D75">
        <v>62.59</v>
      </c>
      <c r="E75">
        <v>284.52</v>
      </c>
      <c r="F75">
        <v>50.98</v>
      </c>
      <c r="G75">
        <v>13.49</v>
      </c>
      <c r="H75">
        <v>0.25</v>
      </c>
      <c r="J75">
        <f>$B$106-Table1[[#This Row],[Coal]]</f>
        <v>121.6</v>
      </c>
      <c r="K75">
        <f>$C$106-Table1[[#This Row],[Oil]]</f>
        <v>149.44</v>
      </c>
      <c r="L75">
        <f>$D$106-Table1[[#This Row],[Gas]]</f>
        <v>86.22999999999999</v>
      </c>
      <c r="M75">
        <f>$E$106-Table1[[#This Row],[Renewables]]</f>
        <v>31.379999999999995</v>
      </c>
      <c r="N75">
        <f>$F$106-Table1[[#This Row],[Bioenergy]]</f>
        <v>11.330000000000005</v>
      </c>
      <c r="O75">
        <f>$G$106-Table1[[#This Row],[Nuclear]]</f>
        <v>0.92999999999999972</v>
      </c>
    </row>
    <row r="76" spans="1:15">
      <c r="A76">
        <v>2073</v>
      </c>
      <c r="B76">
        <v>35.700000000000003</v>
      </c>
      <c r="C76">
        <v>46.8</v>
      </c>
      <c r="D76">
        <v>62.23</v>
      </c>
      <c r="E76">
        <v>286.02</v>
      </c>
      <c r="F76">
        <v>50.6</v>
      </c>
      <c r="G76">
        <v>13.36</v>
      </c>
      <c r="H76">
        <v>0.25</v>
      </c>
      <c r="J76">
        <f>$B$106-Table1[[#This Row],[Coal]]</f>
        <v>121.99</v>
      </c>
      <c r="K76">
        <f>$C$106-Table1[[#This Row],[Oil]]</f>
        <v>150.64999999999998</v>
      </c>
      <c r="L76">
        <f>$D$106-Table1[[#This Row],[Gas]]</f>
        <v>86.59</v>
      </c>
      <c r="M76">
        <f>$E$106-Table1[[#This Row],[Renewables]]</f>
        <v>29.879999999999995</v>
      </c>
      <c r="N76">
        <f>$F$106-Table1[[#This Row],[Bioenergy]]</f>
        <v>11.71</v>
      </c>
      <c r="O76">
        <f>$G$106-Table1[[#This Row],[Nuclear]]</f>
        <v>1.0600000000000005</v>
      </c>
    </row>
    <row r="77" spans="1:15">
      <c r="A77">
        <v>2074</v>
      </c>
      <c r="B77">
        <v>35.33</v>
      </c>
      <c r="C77">
        <v>45.66</v>
      </c>
      <c r="D77">
        <v>61.89</v>
      </c>
      <c r="E77">
        <v>287.45999999999998</v>
      </c>
      <c r="F77">
        <v>50.22</v>
      </c>
      <c r="G77">
        <v>13.24</v>
      </c>
      <c r="H77">
        <v>0.25</v>
      </c>
      <c r="J77">
        <f>$B$106-Table1[[#This Row],[Coal]]</f>
        <v>122.36</v>
      </c>
      <c r="K77">
        <f>$C$106-Table1[[#This Row],[Oil]]</f>
        <v>151.79</v>
      </c>
      <c r="L77">
        <f>$D$106-Table1[[#This Row],[Gas]]</f>
        <v>86.929999999999993</v>
      </c>
      <c r="M77">
        <f>$E$106-Table1[[#This Row],[Renewables]]</f>
        <v>28.439999999999998</v>
      </c>
      <c r="N77">
        <f>$F$106-Table1[[#This Row],[Bioenergy]]</f>
        <v>12.090000000000003</v>
      </c>
      <c r="O77">
        <f>$G$106-Table1[[#This Row],[Nuclear]]</f>
        <v>1.1799999999999997</v>
      </c>
    </row>
    <row r="78" spans="1:15">
      <c r="A78">
        <v>2075</v>
      </c>
      <c r="B78">
        <v>34.96</v>
      </c>
      <c r="C78">
        <v>44.56</v>
      </c>
      <c r="D78">
        <v>61.59</v>
      </c>
      <c r="E78">
        <v>288.85000000000002</v>
      </c>
      <c r="F78">
        <v>49.86</v>
      </c>
      <c r="G78">
        <v>13.12</v>
      </c>
      <c r="H78">
        <v>0.25</v>
      </c>
      <c r="J78">
        <f>$B$106-Table1[[#This Row],[Coal]]</f>
        <v>122.72999999999999</v>
      </c>
      <c r="K78">
        <f>$C$106-Table1[[#This Row],[Oil]]</f>
        <v>152.88999999999999</v>
      </c>
      <c r="L78">
        <f>$D$106-Table1[[#This Row],[Gas]]</f>
        <v>87.22999999999999</v>
      </c>
      <c r="M78">
        <f>$E$106-Table1[[#This Row],[Renewables]]</f>
        <v>27.049999999999955</v>
      </c>
      <c r="N78">
        <f>$F$106-Table1[[#This Row],[Bioenergy]]</f>
        <v>12.450000000000003</v>
      </c>
      <c r="O78">
        <f>$G$106-Table1[[#This Row],[Nuclear]]</f>
        <v>1.3000000000000007</v>
      </c>
    </row>
    <row r="79" spans="1:15">
      <c r="A79">
        <v>2076</v>
      </c>
      <c r="B79">
        <v>34.619999999999997</v>
      </c>
      <c r="C79">
        <v>43.53</v>
      </c>
      <c r="D79">
        <v>61.31</v>
      </c>
      <c r="E79">
        <v>290.19</v>
      </c>
      <c r="F79">
        <v>49.51</v>
      </c>
      <c r="G79">
        <v>13.01</v>
      </c>
      <c r="H79">
        <v>0.25</v>
      </c>
      <c r="J79">
        <f>$B$106-Table1[[#This Row],[Coal]]</f>
        <v>123.07</v>
      </c>
      <c r="K79">
        <f>$C$106-Table1[[#This Row],[Oil]]</f>
        <v>153.91999999999999</v>
      </c>
      <c r="L79">
        <f>$D$106-Table1[[#This Row],[Gas]]</f>
        <v>87.509999999999991</v>
      </c>
      <c r="M79">
        <f>$E$106-Table1[[#This Row],[Renewables]]</f>
        <v>25.70999999999998</v>
      </c>
      <c r="N79">
        <f>$F$106-Table1[[#This Row],[Bioenergy]]</f>
        <v>12.800000000000004</v>
      </c>
      <c r="O79">
        <f>$G$106-Table1[[#This Row],[Nuclear]]</f>
        <v>1.4100000000000001</v>
      </c>
    </row>
    <row r="80" spans="1:15">
      <c r="A80">
        <v>2077</v>
      </c>
      <c r="B80">
        <v>34.29</v>
      </c>
      <c r="C80">
        <v>42.54</v>
      </c>
      <c r="D80">
        <v>61.06</v>
      </c>
      <c r="E80">
        <v>291.45999999999998</v>
      </c>
      <c r="F80">
        <v>49.17</v>
      </c>
      <c r="G80">
        <v>12.91</v>
      </c>
      <c r="H80">
        <v>0.25</v>
      </c>
      <c r="J80">
        <f>$B$106-Table1[[#This Row],[Coal]]</f>
        <v>123.4</v>
      </c>
      <c r="K80">
        <f>$C$106-Table1[[#This Row],[Oil]]</f>
        <v>154.91</v>
      </c>
      <c r="L80">
        <f>$D$106-Table1[[#This Row],[Gas]]</f>
        <v>87.759999999999991</v>
      </c>
      <c r="M80">
        <f>$E$106-Table1[[#This Row],[Renewables]]</f>
        <v>24.439999999999998</v>
      </c>
      <c r="N80">
        <f>$F$106-Table1[[#This Row],[Bioenergy]]</f>
        <v>13.14</v>
      </c>
      <c r="O80">
        <f>$G$106-Table1[[#This Row],[Nuclear]]</f>
        <v>1.5099999999999998</v>
      </c>
    </row>
    <row r="81" spans="1:15">
      <c r="A81">
        <v>2078</v>
      </c>
      <c r="B81">
        <v>33.979999999999997</v>
      </c>
      <c r="C81">
        <v>41.59</v>
      </c>
      <c r="D81">
        <v>60.83</v>
      </c>
      <c r="E81">
        <v>292.68</v>
      </c>
      <c r="F81">
        <v>48.84</v>
      </c>
      <c r="G81">
        <v>12.82</v>
      </c>
      <c r="H81">
        <v>0.25</v>
      </c>
      <c r="J81">
        <f>$B$106-Table1[[#This Row],[Coal]]</f>
        <v>123.71000000000001</v>
      </c>
      <c r="K81">
        <f>$C$106-Table1[[#This Row],[Oil]]</f>
        <v>155.85999999999999</v>
      </c>
      <c r="L81">
        <f>$D$106-Table1[[#This Row],[Gas]]</f>
        <v>87.99</v>
      </c>
      <c r="M81">
        <f>$E$106-Table1[[#This Row],[Renewables]]</f>
        <v>23.21999999999997</v>
      </c>
      <c r="N81">
        <f>$F$106-Table1[[#This Row],[Bioenergy]]</f>
        <v>13.469999999999999</v>
      </c>
      <c r="O81">
        <f>$G$106-Table1[[#This Row],[Nuclear]]</f>
        <v>1.5999999999999996</v>
      </c>
    </row>
    <row r="82" spans="1:15">
      <c r="A82">
        <v>2079</v>
      </c>
      <c r="B82">
        <v>33.700000000000003</v>
      </c>
      <c r="C82">
        <v>40.69</v>
      </c>
      <c r="D82">
        <v>60.62</v>
      </c>
      <c r="E82">
        <v>293.85000000000002</v>
      </c>
      <c r="F82">
        <v>48.53</v>
      </c>
      <c r="G82">
        <v>12.74</v>
      </c>
      <c r="H82">
        <v>0.25</v>
      </c>
      <c r="J82">
        <f>$B$106-Table1[[#This Row],[Coal]]</f>
        <v>123.99</v>
      </c>
      <c r="K82">
        <f>$C$106-Table1[[#This Row],[Oil]]</f>
        <v>156.76</v>
      </c>
      <c r="L82">
        <f>$D$106-Table1[[#This Row],[Gas]]</f>
        <v>88.199999999999989</v>
      </c>
      <c r="M82">
        <f>$E$106-Table1[[#This Row],[Renewables]]</f>
        <v>22.049999999999955</v>
      </c>
      <c r="N82">
        <f>$F$106-Table1[[#This Row],[Bioenergy]]</f>
        <v>13.780000000000001</v>
      </c>
      <c r="O82">
        <f>$G$106-Table1[[#This Row],[Nuclear]]</f>
        <v>1.6799999999999997</v>
      </c>
    </row>
    <row r="83" spans="1:15">
      <c r="A83">
        <v>2080</v>
      </c>
      <c r="B83">
        <v>33.44</v>
      </c>
      <c r="C83">
        <v>39.840000000000003</v>
      </c>
      <c r="D83">
        <v>60.43</v>
      </c>
      <c r="E83">
        <v>294.95999999999998</v>
      </c>
      <c r="F83">
        <v>48.22</v>
      </c>
      <c r="G83">
        <v>12.66</v>
      </c>
      <c r="H83">
        <v>0.25</v>
      </c>
      <c r="J83">
        <f>$B$106-Table1[[#This Row],[Coal]]</f>
        <v>124.25</v>
      </c>
      <c r="K83">
        <f>$C$106-Table1[[#This Row],[Oil]]</f>
        <v>157.60999999999999</v>
      </c>
      <c r="L83">
        <f>$D$106-Table1[[#This Row],[Gas]]</f>
        <v>88.389999999999986</v>
      </c>
      <c r="M83">
        <f>$E$106-Table1[[#This Row],[Renewables]]</f>
        <v>20.939999999999998</v>
      </c>
      <c r="N83">
        <f>$F$106-Table1[[#This Row],[Bioenergy]]</f>
        <v>14.090000000000003</v>
      </c>
      <c r="O83">
        <f>$G$106-Table1[[#This Row],[Nuclear]]</f>
        <v>1.7599999999999998</v>
      </c>
    </row>
    <row r="84" spans="1:15">
      <c r="A84">
        <v>2081</v>
      </c>
      <c r="B84">
        <v>33.21</v>
      </c>
      <c r="C84">
        <v>39.020000000000003</v>
      </c>
      <c r="D84">
        <v>60.25</v>
      </c>
      <c r="E84">
        <v>296.02999999999997</v>
      </c>
      <c r="F84">
        <v>47.93</v>
      </c>
      <c r="G84">
        <v>12.59</v>
      </c>
      <c r="H84">
        <v>0.25</v>
      </c>
      <c r="J84">
        <f>$B$106-Table1[[#This Row],[Coal]]</f>
        <v>124.47999999999999</v>
      </c>
      <c r="K84">
        <f>$C$106-Table1[[#This Row],[Oil]]</f>
        <v>158.42999999999998</v>
      </c>
      <c r="L84">
        <f>$D$106-Table1[[#This Row],[Gas]]</f>
        <v>88.57</v>
      </c>
      <c r="M84">
        <f>$E$106-Table1[[#This Row],[Renewables]]</f>
        <v>19.870000000000005</v>
      </c>
      <c r="N84">
        <f>$F$106-Table1[[#This Row],[Bioenergy]]</f>
        <v>14.380000000000003</v>
      </c>
      <c r="O84">
        <f>$G$106-Table1[[#This Row],[Nuclear]]</f>
        <v>1.83</v>
      </c>
    </row>
    <row r="85" spans="1:15">
      <c r="A85">
        <v>2082</v>
      </c>
      <c r="B85">
        <v>33.01</v>
      </c>
      <c r="C85">
        <v>38.229999999999997</v>
      </c>
      <c r="D85">
        <v>60.09</v>
      </c>
      <c r="E85">
        <v>297.06</v>
      </c>
      <c r="F85">
        <v>47.66</v>
      </c>
      <c r="G85">
        <v>12.53</v>
      </c>
      <c r="H85">
        <v>0.25</v>
      </c>
      <c r="J85">
        <f>$B$106-Table1[[#This Row],[Coal]]</f>
        <v>124.68</v>
      </c>
      <c r="K85">
        <f>$C$106-Table1[[#This Row],[Oil]]</f>
        <v>159.22</v>
      </c>
      <c r="L85">
        <f>$D$106-Table1[[#This Row],[Gas]]</f>
        <v>88.72999999999999</v>
      </c>
      <c r="M85">
        <f>$E$106-Table1[[#This Row],[Renewables]]</f>
        <v>18.839999999999975</v>
      </c>
      <c r="N85">
        <f>$F$106-Table1[[#This Row],[Bioenergy]]</f>
        <v>14.650000000000006</v>
      </c>
      <c r="O85">
        <f>$G$106-Table1[[#This Row],[Nuclear]]</f>
        <v>1.8900000000000006</v>
      </c>
    </row>
    <row r="86" spans="1:15">
      <c r="A86">
        <v>2083</v>
      </c>
      <c r="B86">
        <v>32.82</v>
      </c>
      <c r="C86">
        <v>37.49</v>
      </c>
      <c r="D86">
        <v>59.95</v>
      </c>
      <c r="E86">
        <v>298.08</v>
      </c>
      <c r="F86">
        <v>47.4</v>
      </c>
      <c r="G86">
        <v>12.47</v>
      </c>
      <c r="H86">
        <v>0.25</v>
      </c>
      <c r="J86">
        <f>$B$106-Table1[[#This Row],[Coal]]</f>
        <v>124.87</v>
      </c>
      <c r="K86">
        <f>$C$106-Table1[[#This Row],[Oil]]</f>
        <v>159.95999999999998</v>
      </c>
      <c r="L86">
        <f>$D$106-Table1[[#This Row],[Gas]]</f>
        <v>88.86999999999999</v>
      </c>
      <c r="M86">
        <f>$E$106-Table1[[#This Row],[Renewables]]</f>
        <v>17.819999999999993</v>
      </c>
      <c r="N86">
        <f>$F$106-Table1[[#This Row],[Bioenergy]]</f>
        <v>14.910000000000004</v>
      </c>
      <c r="O86">
        <f>$G$106-Table1[[#This Row],[Nuclear]]</f>
        <v>1.9499999999999993</v>
      </c>
    </row>
    <row r="87" spans="1:15">
      <c r="A87">
        <v>2084</v>
      </c>
      <c r="B87">
        <v>32.659999999999997</v>
      </c>
      <c r="C87">
        <v>36.770000000000003</v>
      </c>
      <c r="D87">
        <v>59.83</v>
      </c>
      <c r="E87">
        <v>299.07</v>
      </c>
      <c r="F87">
        <v>47.15</v>
      </c>
      <c r="G87">
        <v>12.42</v>
      </c>
      <c r="H87">
        <v>0.25</v>
      </c>
      <c r="J87">
        <f>$B$106-Table1[[#This Row],[Coal]]</f>
        <v>125.03</v>
      </c>
      <c r="K87">
        <f>$C$106-Table1[[#This Row],[Oil]]</f>
        <v>160.67999999999998</v>
      </c>
      <c r="L87">
        <f>$D$106-Table1[[#This Row],[Gas]]</f>
        <v>88.99</v>
      </c>
      <c r="M87">
        <f>$E$106-Table1[[#This Row],[Renewables]]</f>
        <v>16.829999999999984</v>
      </c>
      <c r="N87">
        <f>$F$106-Table1[[#This Row],[Bioenergy]]</f>
        <v>15.160000000000004</v>
      </c>
      <c r="O87">
        <f>$G$106-Table1[[#This Row],[Nuclear]]</f>
        <v>2</v>
      </c>
    </row>
    <row r="88" spans="1:15">
      <c r="A88">
        <v>2085</v>
      </c>
      <c r="B88">
        <v>32.520000000000003</v>
      </c>
      <c r="C88">
        <v>36.08</v>
      </c>
      <c r="D88">
        <v>59.72</v>
      </c>
      <c r="E88">
        <v>300.06</v>
      </c>
      <c r="F88">
        <v>46.91</v>
      </c>
      <c r="G88">
        <v>12.37</v>
      </c>
      <c r="H88">
        <v>0.25</v>
      </c>
      <c r="J88">
        <f>$B$106-Table1[[#This Row],[Coal]]</f>
        <v>125.16999999999999</v>
      </c>
      <c r="K88">
        <f>$C$106-Table1[[#This Row],[Oil]]</f>
        <v>161.37</v>
      </c>
      <c r="L88">
        <f>$D$106-Table1[[#This Row],[Gas]]</f>
        <v>89.1</v>
      </c>
      <c r="M88">
        <f>$E$106-Table1[[#This Row],[Renewables]]</f>
        <v>15.839999999999975</v>
      </c>
      <c r="N88">
        <f>$F$106-Table1[[#This Row],[Bioenergy]]</f>
        <v>15.400000000000006</v>
      </c>
      <c r="O88">
        <f>$G$106-Table1[[#This Row],[Nuclear]]</f>
        <v>2.0500000000000007</v>
      </c>
    </row>
    <row r="89" spans="1:15">
      <c r="A89">
        <v>2086</v>
      </c>
      <c r="B89">
        <v>32.380000000000003</v>
      </c>
      <c r="C89">
        <v>35.409999999999997</v>
      </c>
      <c r="D89">
        <v>59.62</v>
      </c>
      <c r="E89">
        <v>301.04000000000002</v>
      </c>
      <c r="F89">
        <v>46.69</v>
      </c>
      <c r="G89">
        <v>12.33</v>
      </c>
      <c r="H89">
        <v>0.25</v>
      </c>
      <c r="J89">
        <f>$B$106-Table1[[#This Row],[Coal]]</f>
        <v>125.31</v>
      </c>
      <c r="K89">
        <f>$C$106-Table1[[#This Row],[Oil]]</f>
        <v>162.04</v>
      </c>
      <c r="L89">
        <f>$D$106-Table1[[#This Row],[Gas]]</f>
        <v>89.199999999999989</v>
      </c>
      <c r="M89">
        <f>$E$106-Table1[[#This Row],[Renewables]]</f>
        <v>14.859999999999957</v>
      </c>
      <c r="N89">
        <f>$F$106-Table1[[#This Row],[Bioenergy]]</f>
        <v>15.620000000000005</v>
      </c>
      <c r="O89">
        <f>$G$106-Table1[[#This Row],[Nuclear]]</f>
        <v>2.09</v>
      </c>
    </row>
    <row r="90" spans="1:15">
      <c r="A90">
        <v>2087</v>
      </c>
      <c r="B90">
        <v>32.26</v>
      </c>
      <c r="C90">
        <v>34.770000000000003</v>
      </c>
      <c r="D90">
        <v>59.54</v>
      </c>
      <c r="E90">
        <v>302.01</v>
      </c>
      <c r="F90">
        <v>46.49</v>
      </c>
      <c r="G90">
        <v>12.29</v>
      </c>
      <c r="H90">
        <v>0.25</v>
      </c>
      <c r="J90">
        <f>$B$106-Table1[[#This Row],[Coal]]</f>
        <v>125.43</v>
      </c>
      <c r="K90">
        <f>$C$106-Table1[[#This Row],[Oil]]</f>
        <v>162.67999999999998</v>
      </c>
      <c r="L90">
        <f>$D$106-Table1[[#This Row],[Gas]]</f>
        <v>89.28</v>
      </c>
      <c r="M90">
        <f>$E$106-Table1[[#This Row],[Renewables]]</f>
        <v>13.889999999999986</v>
      </c>
      <c r="N90">
        <f>$F$106-Table1[[#This Row],[Bioenergy]]</f>
        <v>15.82</v>
      </c>
      <c r="O90">
        <f>$G$106-Table1[[#This Row],[Nuclear]]</f>
        <v>2.1300000000000008</v>
      </c>
    </row>
    <row r="91" spans="1:15">
      <c r="A91">
        <v>2088</v>
      </c>
      <c r="B91">
        <v>32.15</v>
      </c>
      <c r="C91">
        <v>34.17</v>
      </c>
      <c r="D91">
        <v>59.47</v>
      </c>
      <c r="E91">
        <v>302.98</v>
      </c>
      <c r="F91">
        <v>46.29</v>
      </c>
      <c r="G91">
        <v>12.25</v>
      </c>
      <c r="H91">
        <v>0.25</v>
      </c>
      <c r="J91">
        <f>$B$106-Table1[[#This Row],[Coal]]</f>
        <v>125.53999999999999</v>
      </c>
      <c r="K91">
        <f>$C$106-Table1[[#This Row],[Oil]]</f>
        <v>163.27999999999997</v>
      </c>
      <c r="L91">
        <f>$D$106-Table1[[#This Row],[Gas]]</f>
        <v>89.35</v>
      </c>
      <c r="M91">
        <f>$E$106-Table1[[#This Row],[Renewables]]</f>
        <v>12.919999999999959</v>
      </c>
      <c r="N91">
        <f>$F$106-Table1[[#This Row],[Bioenergy]]</f>
        <v>16.020000000000003</v>
      </c>
      <c r="O91">
        <f>$G$106-Table1[[#This Row],[Nuclear]]</f>
        <v>2.17</v>
      </c>
    </row>
    <row r="92" spans="1:15">
      <c r="A92">
        <v>2089</v>
      </c>
      <c r="B92">
        <v>32.049999999999997</v>
      </c>
      <c r="C92">
        <v>33.58</v>
      </c>
      <c r="D92">
        <v>59.41</v>
      </c>
      <c r="E92">
        <v>303.95999999999998</v>
      </c>
      <c r="F92">
        <v>46.11</v>
      </c>
      <c r="G92">
        <v>12.22</v>
      </c>
      <c r="H92">
        <v>0.25</v>
      </c>
      <c r="J92">
        <f>$B$106-Table1[[#This Row],[Coal]]</f>
        <v>125.64</v>
      </c>
      <c r="K92">
        <f>$C$106-Table1[[#This Row],[Oil]]</f>
        <v>163.87</v>
      </c>
      <c r="L92">
        <f>$D$106-Table1[[#This Row],[Gas]]</f>
        <v>89.41</v>
      </c>
      <c r="M92">
        <f>$E$106-Table1[[#This Row],[Renewables]]</f>
        <v>11.939999999999998</v>
      </c>
      <c r="N92">
        <f>$F$106-Table1[[#This Row],[Bioenergy]]</f>
        <v>16.200000000000003</v>
      </c>
      <c r="O92">
        <f>$G$106-Table1[[#This Row],[Nuclear]]</f>
        <v>2.1999999999999993</v>
      </c>
    </row>
    <row r="93" spans="1:15">
      <c r="A93">
        <v>2090</v>
      </c>
      <c r="B93">
        <v>31.96</v>
      </c>
      <c r="C93">
        <v>33.03</v>
      </c>
      <c r="D93">
        <v>59.36</v>
      </c>
      <c r="E93">
        <v>304.94</v>
      </c>
      <c r="F93">
        <v>45.94</v>
      </c>
      <c r="G93">
        <v>12.19</v>
      </c>
      <c r="H93">
        <v>0.25</v>
      </c>
      <c r="J93">
        <f>$B$106-Table1[[#This Row],[Coal]]</f>
        <v>125.72999999999999</v>
      </c>
      <c r="K93">
        <f>$C$106-Table1[[#This Row],[Oil]]</f>
        <v>164.42</v>
      </c>
      <c r="L93">
        <f>$D$106-Table1[[#This Row],[Gas]]</f>
        <v>89.46</v>
      </c>
      <c r="M93">
        <f>$E$106-Table1[[#This Row],[Renewables]]</f>
        <v>10.95999999999998</v>
      </c>
      <c r="N93">
        <f>$F$106-Table1[[#This Row],[Bioenergy]]</f>
        <v>16.370000000000005</v>
      </c>
      <c r="O93">
        <f>$G$106-Table1[[#This Row],[Nuclear]]</f>
        <v>2.2300000000000004</v>
      </c>
    </row>
    <row r="94" spans="1:15">
      <c r="A94">
        <v>2091</v>
      </c>
      <c r="B94">
        <v>31.88</v>
      </c>
      <c r="C94">
        <v>32.5</v>
      </c>
      <c r="D94">
        <v>59.33</v>
      </c>
      <c r="E94">
        <v>305.93</v>
      </c>
      <c r="F94">
        <v>45.79</v>
      </c>
      <c r="G94">
        <v>12.17</v>
      </c>
      <c r="H94">
        <v>0.25</v>
      </c>
      <c r="J94">
        <f>$B$106-Table1[[#This Row],[Coal]]</f>
        <v>125.81</v>
      </c>
      <c r="K94">
        <f>$C$106-Table1[[#This Row],[Oil]]</f>
        <v>164.95</v>
      </c>
      <c r="L94">
        <f>$D$106-Table1[[#This Row],[Gas]]</f>
        <v>89.49</v>
      </c>
      <c r="M94">
        <f>$E$106-Table1[[#This Row],[Renewables]]</f>
        <v>9.9699999999999704</v>
      </c>
      <c r="N94">
        <f>$F$106-Table1[[#This Row],[Bioenergy]]</f>
        <v>16.520000000000003</v>
      </c>
      <c r="O94">
        <f>$G$106-Table1[[#This Row],[Nuclear]]</f>
        <v>2.25</v>
      </c>
    </row>
    <row r="95" spans="1:15">
      <c r="A95">
        <v>2092</v>
      </c>
      <c r="B95">
        <v>31.81</v>
      </c>
      <c r="C95">
        <v>32</v>
      </c>
      <c r="D95">
        <v>59.31</v>
      </c>
      <c r="E95">
        <v>306.94</v>
      </c>
      <c r="F95">
        <v>45.64</v>
      </c>
      <c r="G95">
        <v>12.15</v>
      </c>
      <c r="H95">
        <v>0.25</v>
      </c>
      <c r="J95">
        <f>$B$106-Table1[[#This Row],[Coal]]</f>
        <v>125.88</v>
      </c>
      <c r="K95">
        <f>$C$106-Table1[[#This Row],[Oil]]</f>
        <v>165.45</v>
      </c>
      <c r="L95">
        <f>$D$106-Table1[[#This Row],[Gas]]</f>
        <v>89.509999999999991</v>
      </c>
      <c r="M95">
        <f>$E$106-Table1[[#This Row],[Renewables]]</f>
        <v>8.9599999999999795</v>
      </c>
      <c r="N95">
        <f>$F$106-Table1[[#This Row],[Bioenergy]]</f>
        <v>16.670000000000002</v>
      </c>
      <c r="O95">
        <f>$G$106-Table1[[#This Row],[Nuclear]]</f>
        <v>2.2699999999999996</v>
      </c>
    </row>
    <row r="96" spans="1:15">
      <c r="A96">
        <v>2093</v>
      </c>
      <c r="B96">
        <v>31.75</v>
      </c>
      <c r="C96">
        <v>31.53</v>
      </c>
      <c r="D96">
        <v>59.3</v>
      </c>
      <c r="E96">
        <v>307.97000000000003</v>
      </c>
      <c r="F96">
        <v>45.52</v>
      </c>
      <c r="G96">
        <v>12.14</v>
      </c>
      <c r="H96">
        <v>0.25</v>
      </c>
      <c r="J96">
        <f>$B$106-Table1[[#This Row],[Coal]]</f>
        <v>125.94</v>
      </c>
      <c r="K96">
        <f>$C$106-Table1[[#This Row],[Oil]]</f>
        <v>165.92</v>
      </c>
      <c r="L96">
        <f>$D$106-Table1[[#This Row],[Gas]]</f>
        <v>89.52</v>
      </c>
      <c r="M96">
        <f>$E$106-Table1[[#This Row],[Renewables]]</f>
        <v>7.92999999999995</v>
      </c>
      <c r="N96">
        <f>$F$106-Table1[[#This Row],[Bioenergy]]</f>
        <v>16.79</v>
      </c>
      <c r="O96">
        <f>$G$106-Table1[[#This Row],[Nuclear]]</f>
        <v>2.2799999999999994</v>
      </c>
    </row>
    <row r="97" spans="1:15">
      <c r="A97">
        <v>2094</v>
      </c>
      <c r="B97">
        <v>31.7</v>
      </c>
      <c r="C97">
        <v>31.07</v>
      </c>
      <c r="D97">
        <v>59.31</v>
      </c>
      <c r="E97">
        <v>309.02999999999997</v>
      </c>
      <c r="F97">
        <v>45.4</v>
      </c>
      <c r="G97">
        <v>12.13</v>
      </c>
      <c r="H97">
        <v>0.25</v>
      </c>
      <c r="J97">
        <f>$B$106-Table1[[#This Row],[Coal]]</f>
        <v>125.99</v>
      </c>
      <c r="K97">
        <f>$C$106-Table1[[#This Row],[Oil]]</f>
        <v>166.38</v>
      </c>
      <c r="L97">
        <f>$D$106-Table1[[#This Row],[Gas]]</f>
        <v>89.509999999999991</v>
      </c>
      <c r="M97">
        <f>$E$106-Table1[[#This Row],[Renewables]]</f>
        <v>6.8700000000000045</v>
      </c>
      <c r="N97">
        <f>$F$106-Table1[[#This Row],[Bioenergy]]</f>
        <v>16.910000000000004</v>
      </c>
      <c r="O97">
        <f>$G$106-Table1[[#This Row],[Nuclear]]</f>
        <v>2.2899999999999991</v>
      </c>
    </row>
    <row r="98" spans="1:15">
      <c r="A98">
        <v>2095</v>
      </c>
      <c r="B98">
        <v>31.66</v>
      </c>
      <c r="C98">
        <v>30.65</v>
      </c>
      <c r="D98">
        <v>59.32</v>
      </c>
      <c r="E98">
        <v>310.11</v>
      </c>
      <c r="F98">
        <v>45.3</v>
      </c>
      <c r="G98">
        <v>12.12</v>
      </c>
      <c r="H98">
        <v>0.25</v>
      </c>
      <c r="J98">
        <f>$B$106-Table1[[#This Row],[Coal]]</f>
        <v>126.03</v>
      </c>
      <c r="K98">
        <f>$C$106-Table1[[#This Row],[Oil]]</f>
        <v>166.79999999999998</v>
      </c>
      <c r="L98">
        <f>$D$106-Table1[[#This Row],[Gas]]</f>
        <v>89.5</v>
      </c>
      <c r="M98">
        <f>$E$106-Table1[[#This Row],[Renewables]]</f>
        <v>5.7899999999999636</v>
      </c>
      <c r="N98">
        <f>$F$106-Table1[[#This Row],[Bioenergy]]</f>
        <v>17.010000000000005</v>
      </c>
      <c r="O98">
        <f>$G$106-Table1[[#This Row],[Nuclear]]</f>
        <v>2.3000000000000007</v>
      </c>
    </row>
    <row r="99" spans="1:15">
      <c r="A99">
        <v>2096</v>
      </c>
      <c r="B99">
        <v>31.63</v>
      </c>
      <c r="C99">
        <v>30.24</v>
      </c>
      <c r="D99">
        <v>59.35</v>
      </c>
      <c r="E99">
        <v>311.20999999999998</v>
      </c>
      <c r="F99">
        <v>45.21</v>
      </c>
      <c r="G99">
        <v>12.12</v>
      </c>
      <c r="H99">
        <v>0.25</v>
      </c>
      <c r="J99">
        <f>$B$106-Table1[[#This Row],[Coal]]</f>
        <v>126.06</v>
      </c>
      <c r="K99">
        <f>$C$106-Table1[[#This Row],[Oil]]</f>
        <v>167.20999999999998</v>
      </c>
      <c r="L99">
        <f>$D$106-Table1[[#This Row],[Gas]]</f>
        <v>89.47</v>
      </c>
      <c r="M99">
        <f>$E$106-Table1[[#This Row],[Renewables]]</f>
        <v>4.6899999999999977</v>
      </c>
      <c r="N99">
        <f>$F$106-Table1[[#This Row],[Bioenergy]]</f>
        <v>17.100000000000001</v>
      </c>
      <c r="O99">
        <f>$G$106-Table1[[#This Row],[Nuclear]]</f>
        <v>2.3000000000000007</v>
      </c>
    </row>
    <row r="100" spans="1:15">
      <c r="A100">
        <v>2097</v>
      </c>
      <c r="B100">
        <v>31.6</v>
      </c>
      <c r="C100">
        <v>29.86</v>
      </c>
      <c r="D100">
        <v>59.38</v>
      </c>
      <c r="E100">
        <v>312.33999999999997</v>
      </c>
      <c r="F100">
        <v>45.13</v>
      </c>
      <c r="G100">
        <v>12.13</v>
      </c>
      <c r="H100">
        <v>0.25</v>
      </c>
      <c r="J100">
        <f>$B$106-Table1[[#This Row],[Coal]]</f>
        <v>126.09</v>
      </c>
      <c r="K100">
        <f>$C$106-Table1[[#This Row],[Oil]]</f>
        <v>167.58999999999997</v>
      </c>
      <c r="L100">
        <f>$D$106-Table1[[#This Row],[Gas]]</f>
        <v>89.44</v>
      </c>
      <c r="M100">
        <f>$E$106-Table1[[#This Row],[Renewables]]</f>
        <v>3.5600000000000023</v>
      </c>
      <c r="N100">
        <f>$F$106-Table1[[#This Row],[Bioenergy]]</f>
        <v>17.18</v>
      </c>
      <c r="O100">
        <f>$G$106-Table1[[#This Row],[Nuclear]]</f>
        <v>2.2899999999999991</v>
      </c>
    </row>
    <row r="101" spans="1:15">
      <c r="A101">
        <v>2098</v>
      </c>
      <c r="B101">
        <v>31.59</v>
      </c>
      <c r="C101">
        <v>29.49</v>
      </c>
      <c r="D101">
        <v>59.42</v>
      </c>
      <c r="E101">
        <v>313.5</v>
      </c>
      <c r="F101">
        <v>45.06</v>
      </c>
      <c r="G101">
        <v>12.13</v>
      </c>
      <c r="H101">
        <v>0.25</v>
      </c>
      <c r="J101">
        <f>$B$106-Table1[[#This Row],[Coal]]</f>
        <v>126.1</v>
      </c>
      <c r="K101">
        <f>$C$106-Table1[[#This Row],[Oil]]</f>
        <v>167.95999999999998</v>
      </c>
      <c r="L101">
        <f>$D$106-Table1[[#This Row],[Gas]]</f>
        <v>89.399999999999991</v>
      </c>
      <c r="M101">
        <f>$E$106-Table1[[#This Row],[Renewables]]</f>
        <v>2.3999999999999773</v>
      </c>
      <c r="N101">
        <f>$F$106-Table1[[#This Row],[Bioenergy]]</f>
        <v>17.25</v>
      </c>
      <c r="O101">
        <f>$G$106-Table1[[#This Row],[Nuclear]]</f>
        <v>2.2899999999999991</v>
      </c>
    </row>
    <row r="102" spans="1:15">
      <c r="A102">
        <v>2099</v>
      </c>
      <c r="B102">
        <v>31.58</v>
      </c>
      <c r="C102">
        <v>29.15</v>
      </c>
      <c r="D102">
        <v>59.46</v>
      </c>
      <c r="E102">
        <v>314.69</v>
      </c>
      <c r="F102">
        <v>45.01</v>
      </c>
      <c r="G102">
        <v>12.14</v>
      </c>
      <c r="H102">
        <v>0.25</v>
      </c>
      <c r="J102">
        <f>$B$106-Table1[[#This Row],[Coal]]</f>
        <v>126.11</v>
      </c>
      <c r="K102">
        <f>$C$106-Table1[[#This Row],[Oil]]</f>
        <v>168.29999999999998</v>
      </c>
      <c r="L102">
        <f>$D$106-Table1[[#This Row],[Gas]]</f>
        <v>89.359999999999985</v>
      </c>
      <c r="M102">
        <f>$E$106-Table1[[#This Row],[Renewables]]</f>
        <v>1.2099999999999795</v>
      </c>
      <c r="N102">
        <f>$F$106-Table1[[#This Row],[Bioenergy]]</f>
        <v>17.300000000000004</v>
      </c>
      <c r="O102">
        <f>$G$106-Table1[[#This Row],[Nuclear]]</f>
        <v>2.2799999999999994</v>
      </c>
    </row>
    <row r="103" spans="1:15">
      <c r="A103">
        <v>2100</v>
      </c>
      <c r="B103">
        <v>31.57</v>
      </c>
      <c r="C103">
        <v>28.83</v>
      </c>
      <c r="D103">
        <v>59.51</v>
      </c>
      <c r="E103">
        <v>315.89999999999998</v>
      </c>
      <c r="F103">
        <v>44.96</v>
      </c>
      <c r="G103">
        <v>12.15</v>
      </c>
      <c r="H103">
        <v>0.25</v>
      </c>
      <c r="J103">
        <f>$B$106-Table1[[#This Row],[Coal]]</f>
        <v>126.12</v>
      </c>
      <c r="K103">
        <f>$C$106-Table1[[#This Row],[Oil]]</f>
        <v>168.62</v>
      </c>
      <c r="L103">
        <f>$D$106-Table1[[#This Row],[Gas]]</f>
        <v>89.31</v>
      </c>
      <c r="M103">
        <f>$E$106-Table1[[#This Row],[Renewables]]</f>
        <v>0</v>
      </c>
      <c r="N103">
        <f>$F$106-Table1[[#This Row],[Bioenergy]]</f>
        <v>17.350000000000001</v>
      </c>
      <c r="O103">
        <f>$G$106-Table1[[#This Row],[Nuclear]]</f>
        <v>2.2699999999999996</v>
      </c>
    </row>
    <row r="105" spans="1:15"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2" t="s">
        <v>7</v>
      </c>
    </row>
    <row r="106" spans="1:15">
      <c r="A106" t="s">
        <v>12</v>
      </c>
      <c r="B106">
        <f>MAX(Table1[Coal])</f>
        <v>157.69</v>
      </c>
      <c r="C106">
        <f>MAX(Table1[Oil])</f>
        <v>197.45</v>
      </c>
      <c r="D106">
        <f>MAX(Table1[Gas])</f>
        <v>148.82</v>
      </c>
      <c r="E106">
        <f>MAX(Table1[Renewables])</f>
        <v>315.89999999999998</v>
      </c>
      <c r="F106">
        <f>MAX(Table1[Bioenergy])</f>
        <v>62.31</v>
      </c>
      <c r="G106">
        <f>MAX(Table1[Nuclear])</f>
        <v>14.42</v>
      </c>
    </row>
    <row r="107" spans="1:15">
      <c r="A107" t="s">
        <v>13</v>
      </c>
      <c r="B107">
        <f>MIN(Table1[Coal])</f>
        <v>31.57</v>
      </c>
      <c r="C107">
        <f>MIN(Table1[Oil])</f>
        <v>28.83</v>
      </c>
      <c r="D107">
        <f>MIN(Table1[Gas])</f>
        <v>59.3</v>
      </c>
      <c r="E107">
        <f>MIN(Table1[Renewables])</f>
        <v>10.59</v>
      </c>
      <c r="F107">
        <f>MIN(Table1[Bioenergy])</f>
        <v>40.43</v>
      </c>
      <c r="G107">
        <f>MIN(Table1[Nuclear])</f>
        <v>6.87</v>
      </c>
    </row>
    <row r="108" spans="1:15">
      <c r="A108" t="s">
        <v>14</v>
      </c>
      <c r="B108">
        <f>MAX(Table2[Coal])</f>
        <v>126.12</v>
      </c>
      <c r="C108">
        <f>MAX(Table2[Oil])</f>
        <v>168.62</v>
      </c>
      <c r="D108">
        <f>MAX(Table2[Gas])</f>
        <v>89.52</v>
      </c>
      <c r="E108">
        <f>MAX(Table2[Renewables])</f>
        <v>305.31</v>
      </c>
      <c r="F108">
        <f>MAX(Table2[Bioenergy])</f>
        <v>21.880000000000003</v>
      </c>
      <c r="G108">
        <f>MAX(Table2[Nuclear])</f>
        <v>7.55</v>
      </c>
    </row>
    <row r="109" spans="1:15">
      <c r="A109" t="s">
        <v>15</v>
      </c>
      <c r="B109">
        <f>AVERAGE(Table1[Coal])</f>
        <v>74.667920792079187</v>
      </c>
      <c r="C109">
        <f>AVERAGE(Table1[Oil])</f>
        <v>105.45158415841587</v>
      </c>
      <c r="D109">
        <f>AVERAGE(Table1[Gas])</f>
        <v>88.611188118811882</v>
      </c>
      <c r="E109">
        <f>AVERAGE(Table1[Renewables])</f>
        <v>178.53326732673264</v>
      </c>
      <c r="F109">
        <f>AVERAGE(Table1[Bioenergy])</f>
        <v>52.820297029702957</v>
      </c>
      <c r="G109">
        <f>AVERAGE(Table1[Nuclear])</f>
        <v>11.695742574257432</v>
      </c>
    </row>
    <row r="110" spans="1:15">
      <c r="A110" t="s">
        <v>16</v>
      </c>
      <c r="B110" cm="1">
        <f t="array" ref="B110">SUM(Table1[Coal]*Table1[Probability])</f>
        <v>1885.3649999999996</v>
      </c>
      <c r="C110" cm="1">
        <f t="array" ref="C110">SUM(Table1[Oil]*Table1[Probability])</f>
        <v>2662.6525000000006</v>
      </c>
      <c r="D110" cm="1">
        <f t="array" ref="D110">SUM(Table1[Gas]*Table1[Probability])</f>
        <v>2237.4324999999999</v>
      </c>
      <c r="E110" cm="1">
        <f t="array" ref="E110">SUM(Table1[Renewables]*Table1[Probability])</f>
        <v>4507.9649999999992</v>
      </c>
      <c r="F110" cm="1">
        <f t="array" ref="F110">SUM(Table1[Bioenergy]*Table1[Probability])</f>
        <v>1333.7124999999996</v>
      </c>
      <c r="G110" cm="1">
        <f t="array" ref="G110">SUM(Table1[Nuclear]*Table1[Probability])</f>
        <v>295.31750000000017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D8D4-45CD-4E70-BEE9-3F9D346D66CB}">
  <dimension ref="A1:C102"/>
  <sheetViews>
    <sheetView zoomScale="85" zoomScaleNormal="57" workbookViewId="0">
      <selection sqref="A1:C102"/>
    </sheetView>
  </sheetViews>
  <sheetFormatPr defaultRowHeight="14.4"/>
  <cols>
    <col min="2" max="2" width="15.6640625" customWidth="1"/>
    <col min="3" max="3" width="22.77734375" customWidth="1"/>
  </cols>
  <sheetData>
    <row r="1" spans="1:3">
      <c r="A1" t="s">
        <v>1</v>
      </c>
      <c r="B1" t="s">
        <v>8</v>
      </c>
      <c r="C1" t="s">
        <v>9</v>
      </c>
    </row>
    <row r="2" spans="1:3">
      <c r="A2">
        <v>2000</v>
      </c>
      <c r="B2">
        <v>0.78</v>
      </c>
      <c r="C2">
        <v>0.78</v>
      </c>
    </row>
    <row r="3" spans="1:3">
      <c r="A3">
        <v>2001</v>
      </c>
      <c r="B3">
        <v>0.82</v>
      </c>
      <c r="C3">
        <v>0.82</v>
      </c>
    </row>
    <row r="4" spans="1:3">
      <c r="A4">
        <v>2002</v>
      </c>
      <c r="B4">
        <v>0.85</v>
      </c>
      <c r="C4">
        <v>0.85</v>
      </c>
    </row>
    <row r="5" spans="1:3">
      <c r="A5">
        <v>2003</v>
      </c>
      <c r="B5">
        <v>0.87</v>
      </c>
      <c r="C5">
        <v>0.87</v>
      </c>
    </row>
    <row r="6" spans="1:3">
      <c r="A6">
        <v>2004</v>
      </c>
      <c r="B6">
        <v>0.88</v>
      </c>
      <c r="C6">
        <v>0.88</v>
      </c>
    </row>
    <row r="7" spans="1:3">
      <c r="A7">
        <v>2005</v>
      </c>
      <c r="B7">
        <v>0.89</v>
      </c>
      <c r="C7">
        <v>0.89</v>
      </c>
    </row>
    <row r="8" spans="1:3">
      <c r="A8">
        <v>2006</v>
      </c>
      <c r="B8">
        <v>0.9</v>
      </c>
      <c r="C8">
        <v>0.9</v>
      </c>
    </row>
    <row r="9" spans="1:3">
      <c r="A9">
        <v>2007</v>
      </c>
      <c r="B9">
        <v>0.9</v>
      </c>
      <c r="C9">
        <v>0.9</v>
      </c>
    </row>
    <row r="10" spans="1:3">
      <c r="A10">
        <v>2008</v>
      </c>
      <c r="B10">
        <v>0.91</v>
      </c>
      <c r="C10">
        <v>0.91</v>
      </c>
    </row>
    <row r="11" spans="1:3">
      <c r="A11">
        <v>2009</v>
      </c>
      <c r="B11">
        <v>0.93</v>
      </c>
      <c r="C11">
        <v>0.93</v>
      </c>
    </row>
    <row r="12" spans="1:3">
      <c r="A12">
        <v>2010</v>
      </c>
      <c r="B12">
        <v>0.95</v>
      </c>
      <c r="C12">
        <v>0.95</v>
      </c>
    </row>
    <row r="13" spans="1:3">
      <c r="A13">
        <v>2011</v>
      </c>
      <c r="B13">
        <v>0.98</v>
      </c>
      <c r="C13">
        <v>0.98</v>
      </c>
    </row>
    <row r="14" spans="1:3">
      <c r="A14">
        <v>2012</v>
      </c>
      <c r="B14">
        <v>1.01</v>
      </c>
      <c r="C14">
        <v>1.01</v>
      </c>
    </row>
    <row r="15" spans="1:3">
      <c r="A15">
        <v>2013</v>
      </c>
      <c r="B15">
        <v>1.04</v>
      </c>
      <c r="C15">
        <v>1.04</v>
      </c>
    </row>
    <row r="16" spans="1:3">
      <c r="A16">
        <v>2014</v>
      </c>
      <c r="B16">
        <v>1.08</v>
      </c>
      <c r="C16">
        <v>1.08</v>
      </c>
    </row>
    <row r="17" spans="1:3">
      <c r="A17">
        <v>2015</v>
      </c>
      <c r="B17">
        <v>1.1100000000000001</v>
      </c>
      <c r="C17">
        <v>1.1100000000000001</v>
      </c>
    </row>
    <row r="18" spans="1:3">
      <c r="A18">
        <v>2016</v>
      </c>
      <c r="B18">
        <v>1.1499999999999999</v>
      </c>
      <c r="C18">
        <v>1.1499999999999999</v>
      </c>
    </row>
    <row r="19" spans="1:3">
      <c r="A19">
        <v>2017</v>
      </c>
      <c r="B19">
        <v>1.17</v>
      </c>
      <c r="C19">
        <v>1.17</v>
      </c>
    </row>
    <row r="20" spans="1:3">
      <c r="A20">
        <v>2018</v>
      </c>
      <c r="B20">
        <v>1.2</v>
      </c>
      <c r="C20">
        <v>1.2</v>
      </c>
    </row>
    <row r="21" spans="1:3">
      <c r="A21">
        <v>2019</v>
      </c>
      <c r="B21">
        <v>1.22</v>
      </c>
      <c r="C21">
        <v>1.22</v>
      </c>
    </row>
    <row r="22" spans="1:3">
      <c r="A22">
        <v>2020</v>
      </c>
      <c r="B22">
        <v>1.25</v>
      </c>
      <c r="C22">
        <v>1.25</v>
      </c>
    </row>
    <row r="23" spans="1:3">
      <c r="A23">
        <v>2021</v>
      </c>
      <c r="B23">
        <v>1.27</v>
      </c>
      <c r="C23">
        <v>1.27</v>
      </c>
    </row>
    <row r="24" spans="1:3">
      <c r="A24">
        <v>2022</v>
      </c>
      <c r="B24">
        <v>1.3</v>
      </c>
      <c r="C24">
        <v>1.3</v>
      </c>
    </row>
    <row r="25" spans="1:3">
      <c r="A25">
        <v>2023</v>
      </c>
      <c r="B25">
        <v>1.33</v>
      </c>
      <c r="C25">
        <v>1.33</v>
      </c>
    </row>
    <row r="26" spans="1:3">
      <c r="A26">
        <v>2024</v>
      </c>
      <c r="B26">
        <v>1.35</v>
      </c>
      <c r="C26">
        <v>1.35</v>
      </c>
    </row>
    <row r="27" spans="1:3">
      <c r="A27">
        <v>2025</v>
      </c>
      <c r="B27">
        <v>1.38</v>
      </c>
      <c r="C27">
        <v>1.38</v>
      </c>
    </row>
    <row r="28" spans="1:3">
      <c r="A28">
        <v>2026</v>
      </c>
      <c r="B28">
        <v>1.4</v>
      </c>
      <c r="C28">
        <v>1.4</v>
      </c>
    </row>
    <row r="29" spans="1:3">
      <c r="A29">
        <v>2027</v>
      </c>
      <c r="B29">
        <v>1.43</v>
      </c>
      <c r="C29">
        <v>1.43</v>
      </c>
    </row>
    <row r="30" spans="1:3">
      <c r="A30">
        <v>2028</v>
      </c>
      <c r="B30">
        <v>1.45</v>
      </c>
      <c r="C30">
        <v>1.45</v>
      </c>
    </row>
    <row r="31" spans="1:3">
      <c r="A31">
        <v>2029</v>
      </c>
      <c r="B31">
        <v>1.48</v>
      </c>
      <c r="C31">
        <v>1.48</v>
      </c>
    </row>
    <row r="32" spans="1:3">
      <c r="A32">
        <v>2030</v>
      </c>
      <c r="B32">
        <v>1.5</v>
      </c>
      <c r="C32">
        <v>1.5</v>
      </c>
    </row>
    <row r="33" spans="1:3">
      <c r="A33">
        <v>2031</v>
      </c>
      <c r="B33">
        <v>1.53</v>
      </c>
      <c r="C33">
        <v>1.52</v>
      </c>
    </row>
    <row r="34" spans="1:3">
      <c r="A34">
        <v>2032</v>
      </c>
      <c r="B34">
        <v>1.55</v>
      </c>
      <c r="C34">
        <v>1.54</v>
      </c>
    </row>
    <row r="35" spans="1:3">
      <c r="A35">
        <v>2033</v>
      </c>
      <c r="B35">
        <v>1.58</v>
      </c>
      <c r="C35">
        <v>1.56</v>
      </c>
    </row>
    <row r="36" spans="1:3">
      <c r="A36">
        <v>2034</v>
      </c>
      <c r="B36">
        <v>1.6</v>
      </c>
      <c r="C36">
        <v>1.59</v>
      </c>
    </row>
    <row r="37" spans="1:3">
      <c r="A37">
        <v>2035</v>
      </c>
      <c r="B37">
        <v>1.63</v>
      </c>
      <c r="C37">
        <v>1.61</v>
      </c>
    </row>
    <row r="38" spans="1:3">
      <c r="A38">
        <v>2036</v>
      </c>
      <c r="B38">
        <v>1.65</v>
      </c>
      <c r="C38">
        <v>1.63</v>
      </c>
    </row>
    <row r="39" spans="1:3">
      <c r="A39">
        <v>2037</v>
      </c>
      <c r="B39">
        <v>1.68</v>
      </c>
      <c r="C39">
        <v>1.64</v>
      </c>
    </row>
    <row r="40" spans="1:3">
      <c r="A40">
        <v>2038</v>
      </c>
      <c r="B40">
        <v>1.71</v>
      </c>
      <c r="C40">
        <v>1.66</v>
      </c>
    </row>
    <row r="41" spans="1:3">
      <c r="A41">
        <v>2039</v>
      </c>
      <c r="B41">
        <v>1.73</v>
      </c>
      <c r="C41">
        <v>1.68</v>
      </c>
    </row>
    <row r="42" spans="1:3">
      <c r="A42">
        <v>2040</v>
      </c>
      <c r="B42">
        <v>1.76</v>
      </c>
      <c r="C42">
        <v>1.69</v>
      </c>
    </row>
    <row r="43" spans="1:3">
      <c r="A43">
        <v>2041</v>
      </c>
      <c r="B43">
        <v>1.78</v>
      </c>
      <c r="C43">
        <v>1.7</v>
      </c>
    </row>
    <row r="44" spans="1:3">
      <c r="A44">
        <v>2042</v>
      </c>
      <c r="B44">
        <v>1.81</v>
      </c>
      <c r="C44">
        <v>1.72</v>
      </c>
    </row>
    <row r="45" spans="1:3">
      <c r="A45">
        <v>2043</v>
      </c>
      <c r="B45">
        <v>1.83</v>
      </c>
      <c r="C45">
        <v>1.73</v>
      </c>
    </row>
    <row r="46" spans="1:3">
      <c r="A46">
        <v>2044</v>
      </c>
      <c r="B46">
        <v>1.86</v>
      </c>
      <c r="C46">
        <v>1.74</v>
      </c>
    </row>
    <row r="47" spans="1:3">
      <c r="A47">
        <v>2045</v>
      </c>
      <c r="B47">
        <v>1.89</v>
      </c>
      <c r="C47">
        <v>1.75</v>
      </c>
    </row>
    <row r="48" spans="1:3">
      <c r="A48">
        <v>2046</v>
      </c>
      <c r="B48">
        <v>1.91</v>
      </c>
      <c r="C48">
        <v>1.76</v>
      </c>
    </row>
    <row r="49" spans="1:3">
      <c r="A49">
        <v>2047</v>
      </c>
      <c r="B49">
        <v>1.94</v>
      </c>
      <c r="C49">
        <v>1.77</v>
      </c>
    </row>
    <row r="50" spans="1:3">
      <c r="A50">
        <v>2048</v>
      </c>
      <c r="B50">
        <v>1.97</v>
      </c>
      <c r="C50">
        <v>1.78</v>
      </c>
    </row>
    <row r="51" spans="1:3">
      <c r="A51">
        <v>2049</v>
      </c>
      <c r="B51">
        <v>1.99</v>
      </c>
      <c r="C51">
        <v>1.79</v>
      </c>
    </row>
    <row r="52" spans="1:3">
      <c r="A52">
        <v>2050</v>
      </c>
      <c r="B52">
        <v>2.02</v>
      </c>
      <c r="C52">
        <v>1.8</v>
      </c>
    </row>
    <row r="53" spans="1:3">
      <c r="A53">
        <v>2051</v>
      </c>
      <c r="B53">
        <v>2.04</v>
      </c>
      <c r="C53">
        <v>1.81</v>
      </c>
    </row>
    <row r="54" spans="1:3">
      <c r="A54">
        <v>2052</v>
      </c>
      <c r="B54">
        <v>2.0699999999999998</v>
      </c>
      <c r="C54">
        <v>1.81</v>
      </c>
    </row>
    <row r="55" spans="1:3">
      <c r="A55">
        <v>2053</v>
      </c>
      <c r="B55">
        <v>2.09</v>
      </c>
      <c r="C55">
        <v>1.82</v>
      </c>
    </row>
    <row r="56" spans="1:3">
      <c r="A56">
        <v>2054</v>
      </c>
      <c r="B56">
        <v>2.12</v>
      </c>
      <c r="C56">
        <v>1.82</v>
      </c>
    </row>
    <row r="57" spans="1:3">
      <c r="A57">
        <v>2055</v>
      </c>
      <c r="B57">
        <v>2.14</v>
      </c>
      <c r="C57">
        <v>1.83</v>
      </c>
    </row>
    <row r="58" spans="1:3">
      <c r="A58">
        <v>2056</v>
      </c>
      <c r="B58">
        <v>2.17</v>
      </c>
      <c r="C58">
        <v>1.84</v>
      </c>
    </row>
    <row r="59" spans="1:3">
      <c r="A59">
        <v>2057</v>
      </c>
      <c r="B59">
        <v>2.2000000000000002</v>
      </c>
      <c r="C59">
        <v>1.84</v>
      </c>
    </row>
    <row r="60" spans="1:3">
      <c r="A60">
        <v>2058</v>
      </c>
      <c r="B60">
        <v>2.2200000000000002</v>
      </c>
      <c r="C60">
        <v>1.85</v>
      </c>
    </row>
    <row r="61" spans="1:3">
      <c r="A61">
        <v>2059</v>
      </c>
      <c r="B61">
        <v>2.25</v>
      </c>
      <c r="C61">
        <v>1.85</v>
      </c>
    </row>
    <row r="62" spans="1:3">
      <c r="A62">
        <v>2060</v>
      </c>
      <c r="B62">
        <v>2.27</v>
      </c>
      <c r="C62">
        <v>1.85</v>
      </c>
    </row>
    <row r="63" spans="1:3">
      <c r="A63">
        <v>2061</v>
      </c>
      <c r="B63">
        <v>2.2999999999999998</v>
      </c>
      <c r="C63">
        <v>1.86</v>
      </c>
    </row>
    <row r="64" spans="1:3">
      <c r="A64">
        <v>2062</v>
      </c>
      <c r="B64">
        <v>2.3199999999999998</v>
      </c>
      <c r="C64">
        <v>1.86</v>
      </c>
    </row>
    <row r="65" spans="1:3">
      <c r="A65">
        <v>2063</v>
      </c>
      <c r="B65">
        <v>2.35</v>
      </c>
      <c r="C65">
        <v>1.87</v>
      </c>
    </row>
    <row r="66" spans="1:3">
      <c r="A66">
        <v>2064</v>
      </c>
      <c r="B66">
        <v>2.37</v>
      </c>
      <c r="C66">
        <v>1.87</v>
      </c>
    </row>
    <row r="67" spans="1:3">
      <c r="A67">
        <v>2065</v>
      </c>
      <c r="B67">
        <v>2.4</v>
      </c>
      <c r="C67">
        <v>1.88</v>
      </c>
    </row>
    <row r="68" spans="1:3">
      <c r="A68">
        <v>2066</v>
      </c>
      <c r="B68">
        <v>2.4300000000000002</v>
      </c>
      <c r="C68">
        <v>1.88</v>
      </c>
    </row>
    <row r="69" spans="1:3">
      <c r="A69">
        <v>2067</v>
      </c>
      <c r="B69">
        <v>2.4500000000000002</v>
      </c>
      <c r="C69">
        <v>1.88</v>
      </c>
    </row>
    <row r="70" spans="1:3">
      <c r="A70">
        <v>2068</v>
      </c>
      <c r="B70">
        <v>2.48</v>
      </c>
      <c r="C70">
        <v>1.89</v>
      </c>
    </row>
    <row r="71" spans="1:3">
      <c r="A71">
        <v>2069</v>
      </c>
      <c r="B71">
        <v>2.5099999999999998</v>
      </c>
      <c r="C71">
        <v>1.89</v>
      </c>
    </row>
    <row r="72" spans="1:3">
      <c r="A72">
        <v>2070</v>
      </c>
      <c r="B72">
        <v>2.5299999999999998</v>
      </c>
      <c r="C72">
        <v>1.9</v>
      </c>
    </row>
    <row r="73" spans="1:3">
      <c r="A73">
        <v>2071</v>
      </c>
      <c r="B73">
        <v>2.56</v>
      </c>
      <c r="C73">
        <v>1.9</v>
      </c>
    </row>
    <row r="74" spans="1:3">
      <c r="A74">
        <v>2072</v>
      </c>
      <c r="B74">
        <v>2.58</v>
      </c>
      <c r="C74">
        <v>1.9</v>
      </c>
    </row>
    <row r="75" spans="1:3">
      <c r="A75">
        <v>2073</v>
      </c>
      <c r="B75">
        <v>2.61</v>
      </c>
      <c r="C75">
        <v>1.91</v>
      </c>
    </row>
    <row r="76" spans="1:3">
      <c r="A76">
        <v>2074</v>
      </c>
      <c r="B76">
        <v>2.64</v>
      </c>
      <c r="C76">
        <v>1.91</v>
      </c>
    </row>
    <row r="77" spans="1:3">
      <c r="A77">
        <v>2075</v>
      </c>
      <c r="B77">
        <v>2.66</v>
      </c>
      <c r="C77">
        <v>1.91</v>
      </c>
    </row>
    <row r="78" spans="1:3">
      <c r="A78">
        <v>2076</v>
      </c>
      <c r="B78">
        <v>2.69</v>
      </c>
      <c r="C78">
        <v>1.91</v>
      </c>
    </row>
    <row r="79" spans="1:3">
      <c r="A79">
        <v>2077</v>
      </c>
      <c r="B79">
        <v>2.71</v>
      </c>
      <c r="C79">
        <v>1.92</v>
      </c>
    </row>
    <row r="80" spans="1:3">
      <c r="A80">
        <v>2078</v>
      </c>
      <c r="B80">
        <v>2.74</v>
      </c>
      <c r="C80">
        <v>1.92</v>
      </c>
    </row>
    <row r="81" spans="1:3">
      <c r="A81">
        <v>2079</v>
      </c>
      <c r="B81">
        <v>2.77</v>
      </c>
      <c r="C81">
        <v>1.93</v>
      </c>
    </row>
    <row r="82" spans="1:3">
      <c r="A82">
        <v>2080</v>
      </c>
      <c r="B82">
        <v>2.8</v>
      </c>
      <c r="C82">
        <v>1.93</v>
      </c>
    </row>
    <row r="83" spans="1:3">
      <c r="A83">
        <v>2081</v>
      </c>
      <c r="B83">
        <v>2.82</v>
      </c>
      <c r="C83">
        <v>1.94</v>
      </c>
    </row>
    <row r="84" spans="1:3">
      <c r="A84">
        <v>2082</v>
      </c>
      <c r="B84">
        <v>2.85</v>
      </c>
      <c r="C84">
        <v>1.94</v>
      </c>
    </row>
    <row r="85" spans="1:3">
      <c r="A85">
        <v>2083</v>
      </c>
      <c r="B85">
        <v>2.88</v>
      </c>
      <c r="C85">
        <v>1.94</v>
      </c>
    </row>
    <row r="86" spans="1:3">
      <c r="A86">
        <v>2084</v>
      </c>
      <c r="B86">
        <v>2.9</v>
      </c>
      <c r="C86">
        <v>1.95</v>
      </c>
    </row>
    <row r="87" spans="1:3">
      <c r="A87">
        <v>2085</v>
      </c>
      <c r="B87">
        <v>2.93</v>
      </c>
      <c r="C87">
        <v>1.95</v>
      </c>
    </row>
    <row r="88" spans="1:3">
      <c r="A88">
        <v>2086</v>
      </c>
      <c r="B88">
        <v>2.95</v>
      </c>
      <c r="C88">
        <v>1.95</v>
      </c>
    </row>
    <row r="89" spans="1:3">
      <c r="A89">
        <v>2087</v>
      </c>
      <c r="B89">
        <v>2.98</v>
      </c>
      <c r="C89">
        <v>1.96</v>
      </c>
    </row>
    <row r="90" spans="1:3">
      <c r="A90">
        <v>2088</v>
      </c>
      <c r="B90">
        <v>3.01</v>
      </c>
      <c r="C90">
        <v>1.96</v>
      </c>
    </row>
    <row r="91" spans="1:3">
      <c r="A91">
        <v>2089</v>
      </c>
      <c r="B91">
        <v>3.04</v>
      </c>
      <c r="C91">
        <v>1.96</v>
      </c>
    </row>
    <row r="92" spans="1:3">
      <c r="A92">
        <v>2090</v>
      </c>
      <c r="B92">
        <v>3.06</v>
      </c>
      <c r="C92">
        <v>1.97</v>
      </c>
    </row>
    <row r="93" spans="1:3">
      <c r="A93">
        <v>2091</v>
      </c>
      <c r="B93">
        <v>3.09</v>
      </c>
      <c r="C93">
        <v>1.97</v>
      </c>
    </row>
    <row r="94" spans="1:3">
      <c r="A94">
        <v>2092</v>
      </c>
      <c r="B94">
        <v>3.12</v>
      </c>
      <c r="C94">
        <v>1.98</v>
      </c>
    </row>
    <row r="95" spans="1:3">
      <c r="A95">
        <v>2093</v>
      </c>
      <c r="B95">
        <v>3.14</v>
      </c>
      <c r="C95">
        <v>1.98</v>
      </c>
    </row>
    <row r="96" spans="1:3">
      <c r="A96">
        <v>2094</v>
      </c>
      <c r="B96">
        <v>3.17</v>
      </c>
      <c r="C96">
        <v>1.98</v>
      </c>
    </row>
    <row r="97" spans="1:3">
      <c r="A97">
        <v>2095</v>
      </c>
      <c r="B97">
        <v>3.19</v>
      </c>
      <c r="C97">
        <v>1.99</v>
      </c>
    </row>
    <row r="98" spans="1:3">
      <c r="A98">
        <v>2096</v>
      </c>
      <c r="B98">
        <v>3.22</v>
      </c>
      <c r="C98">
        <v>1.99</v>
      </c>
    </row>
    <row r="99" spans="1:3">
      <c r="A99">
        <v>2097</v>
      </c>
      <c r="B99">
        <v>3.24</v>
      </c>
      <c r="C99">
        <v>1.99</v>
      </c>
    </row>
    <row r="100" spans="1:3">
      <c r="A100">
        <v>2098</v>
      </c>
      <c r="B100">
        <v>3.27</v>
      </c>
      <c r="C100">
        <v>1.99</v>
      </c>
    </row>
    <row r="101" spans="1:3">
      <c r="A101">
        <v>2099</v>
      </c>
      <c r="B101">
        <v>3.29</v>
      </c>
      <c r="C101">
        <v>2</v>
      </c>
    </row>
    <row r="102" spans="1:3">
      <c r="A102">
        <v>2100</v>
      </c>
      <c r="B102">
        <v>3.31</v>
      </c>
      <c r="C102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F052-5003-4A36-AF7D-DD8EB4E75438}">
  <dimension ref="A1:K103"/>
  <sheetViews>
    <sheetView topLeftCell="A2" workbookViewId="0">
      <selection activeCell="J6" sqref="J6"/>
    </sheetView>
  </sheetViews>
  <sheetFormatPr defaultRowHeight="14.4"/>
  <cols>
    <col min="2" max="2" width="17" customWidth="1"/>
    <col min="3" max="3" width="23.88671875" customWidth="1"/>
    <col min="5" max="5" width="27" customWidth="1"/>
    <col min="6" max="6" width="20.33203125" customWidth="1"/>
    <col min="7" max="7" width="21.109375" customWidth="1"/>
    <col min="8" max="8" width="20.109375" customWidth="1"/>
    <col min="9" max="9" width="17" customWidth="1"/>
  </cols>
  <sheetData>
    <row r="1" spans="1:9" ht="15.75" customHeight="1">
      <c r="A1" s="18" t="s">
        <v>17</v>
      </c>
      <c r="B1" s="18"/>
      <c r="C1" s="18"/>
      <c r="E1" s="11" t="s">
        <v>60</v>
      </c>
      <c r="F1" s="11"/>
      <c r="G1" s="12"/>
      <c r="H1" s="13"/>
      <c r="I1" s="8"/>
    </row>
    <row r="2" spans="1:9">
      <c r="A2" s="22" t="s">
        <v>1</v>
      </c>
      <c r="B2" s="23" t="s">
        <v>8</v>
      </c>
      <c r="C2" s="24" t="s">
        <v>9</v>
      </c>
      <c r="E2" s="10" t="s">
        <v>8</v>
      </c>
      <c r="F2" s="7"/>
      <c r="G2" t="s">
        <v>9</v>
      </c>
      <c r="H2" s="8"/>
      <c r="I2" s="8"/>
    </row>
    <row r="3" spans="1:9" ht="14.4" customHeight="1">
      <c r="A3" s="16">
        <v>2000</v>
      </c>
      <c r="B3" s="3">
        <v>0.78</v>
      </c>
      <c r="C3" s="17">
        <v>0.78</v>
      </c>
    </row>
    <row r="4" spans="1:9" ht="14.4" customHeight="1">
      <c r="A4" s="16">
        <v>2001</v>
      </c>
      <c r="B4" s="3">
        <v>0.82</v>
      </c>
      <c r="C4" s="17">
        <v>0.82</v>
      </c>
      <c r="E4" s="14" t="s">
        <v>18</v>
      </c>
      <c r="F4">
        <v>2.02108910891089</v>
      </c>
      <c r="G4" t="s">
        <v>18</v>
      </c>
      <c r="H4" s="15">
        <v>2.02108910891089</v>
      </c>
    </row>
    <row r="5" spans="1:9" ht="14.4" customHeight="1">
      <c r="A5" s="16">
        <v>2002</v>
      </c>
      <c r="B5" s="3">
        <v>0.85</v>
      </c>
      <c r="C5" s="17">
        <v>0.85</v>
      </c>
      <c r="E5" t="s">
        <v>19</v>
      </c>
      <c r="F5">
        <v>7.5149738442144606E-2</v>
      </c>
      <c r="G5" t="s">
        <v>19</v>
      </c>
      <c r="H5">
        <v>7.5149738442144606E-2</v>
      </c>
    </row>
    <row r="6" spans="1:9" ht="14.4" customHeight="1">
      <c r="A6" s="16">
        <v>2003</v>
      </c>
      <c r="B6" s="3">
        <v>0.87</v>
      </c>
      <c r="C6" s="17">
        <v>0.87</v>
      </c>
      <c r="E6" t="s">
        <v>20</v>
      </c>
      <c r="F6">
        <v>2.02</v>
      </c>
      <c r="G6" t="s">
        <v>20</v>
      </c>
      <c r="H6">
        <v>2.02</v>
      </c>
    </row>
    <row r="7" spans="1:9" ht="14.4" customHeight="1">
      <c r="A7" s="16">
        <v>2004</v>
      </c>
      <c r="B7" s="3">
        <v>0.88</v>
      </c>
      <c r="C7" s="17">
        <v>0.88</v>
      </c>
      <c r="E7" t="s">
        <v>21</v>
      </c>
      <c r="F7">
        <v>0.9</v>
      </c>
      <c r="G7" t="s">
        <v>21</v>
      </c>
      <c r="H7">
        <v>0.9</v>
      </c>
    </row>
    <row r="8" spans="1:9" ht="14.4" customHeight="1">
      <c r="A8" s="16">
        <v>2005</v>
      </c>
      <c r="B8" s="3">
        <v>0.89</v>
      </c>
      <c r="C8" s="17">
        <v>0.89</v>
      </c>
      <c r="E8" t="s">
        <v>22</v>
      </c>
      <c r="F8">
        <v>0.75524552430332004</v>
      </c>
      <c r="G8" t="s">
        <v>22</v>
      </c>
      <c r="H8">
        <v>0.75524552430332004</v>
      </c>
    </row>
    <row r="9" spans="1:9" ht="14.4" customHeight="1">
      <c r="A9" s="16">
        <v>2006</v>
      </c>
      <c r="B9" s="3">
        <v>0.9</v>
      </c>
      <c r="C9" s="17">
        <v>0.9</v>
      </c>
      <c r="E9" t="s">
        <v>23</v>
      </c>
      <c r="F9">
        <v>0.57039580198019701</v>
      </c>
      <c r="G9" t="s">
        <v>23</v>
      </c>
      <c r="H9">
        <v>0.57039580198019701</v>
      </c>
    </row>
    <row r="10" spans="1:9" ht="14.4" customHeight="1">
      <c r="A10" s="16">
        <v>2007</v>
      </c>
      <c r="B10" s="3">
        <v>0.9</v>
      </c>
      <c r="C10" s="17">
        <v>0.9</v>
      </c>
      <c r="E10" t="s">
        <v>24</v>
      </c>
      <c r="F10">
        <v>-1.2139044090555999</v>
      </c>
      <c r="G10" t="s">
        <v>24</v>
      </c>
      <c r="H10">
        <v>-1.2139044090555999</v>
      </c>
    </row>
    <row r="11" spans="1:9" ht="14.4" customHeight="1">
      <c r="A11" s="16">
        <v>2008</v>
      </c>
      <c r="B11" s="3">
        <v>0.91</v>
      </c>
      <c r="C11" s="17">
        <v>0.91</v>
      </c>
      <c r="E11" t="s">
        <v>25</v>
      </c>
      <c r="F11">
        <v>2.7201256723140201E-2</v>
      </c>
      <c r="G11" t="s">
        <v>25</v>
      </c>
      <c r="H11">
        <v>2.7201256723140201E-2</v>
      </c>
    </row>
    <row r="12" spans="1:9" ht="14.4" customHeight="1">
      <c r="A12" s="16">
        <v>2009</v>
      </c>
      <c r="B12" s="3">
        <v>0.93</v>
      </c>
      <c r="C12" s="17">
        <v>0.93</v>
      </c>
      <c r="E12" t="s">
        <v>26</v>
      </c>
      <c r="F12">
        <v>2.5299999999999998</v>
      </c>
      <c r="G12" t="s">
        <v>26</v>
      </c>
      <c r="H12">
        <v>2.5299999999999998</v>
      </c>
    </row>
    <row r="13" spans="1:9" ht="14.4" customHeight="1">
      <c r="A13" s="16">
        <v>2010</v>
      </c>
      <c r="B13" s="3">
        <v>0.95</v>
      </c>
      <c r="C13" s="17">
        <v>0.95</v>
      </c>
      <c r="E13" t="s">
        <v>27</v>
      </c>
      <c r="F13">
        <v>0.78</v>
      </c>
      <c r="G13" t="s">
        <v>27</v>
      </c>
      <c r="H13">
        <v>0.78</v>
      </c>
    </row>
    <row r="14" spans="1:9" ht="14.4" customHeight="1">
      <c r="A14" s="16">
        <v>2011</v>
      </c>
      <c r="B14" s="3">
        <v>0.98</v>
      </c>
      <c r="C14" s="17">
        <v>0.98</v>
      </c>
      <c r="E14" t="s">
        <v>28</v>
      </c>
      <c r="F14">
        <v>3.31</v>
      </c>
      <c r="G14" t="s">
        <v>28</v>
      </c>
      <c r="H14">
        <v>3.31</v>
      </c>
    </row>
    <row r="15" spans="1:9" ht="14.4" customHeight="1">
      <c r="A15" s="16">
        <v>2012</v>
      </c>
      <c r="B15" s="3">
        <v>1.01</v>
      </c>
      <c r="C15" s="17">
        <v>1.01</v>
      </c>
      <c r="E15" t="s">
        <v>29</v>
      </c>
      <c r="F15">
        <v>204.13</v>
      </c>
      <c r="G15" t="s">
        <v>29</v>
      </c>
      <c r="H15">
        <v>204.13</v>
      </c>
    </row>
    <row r="16" spans="1:9" ht="14.4" customHeight="1">
      <c r="A16" s="16">
        <v>2013</v>
      </c>
      <c r="B16" s="3">
        <v>1.04</v>
      </c>
      <c r="C16" s="17">
        <v>1.04</v>
      </c>
      <c r="E16" t="s">
        <v>30</v>
      </c>
      <c r="F16">
        <v>101</v>
      </c>
      <c r="G16" t="s">
        <v>30</v>
      </c>
      <c r="H16">
        <v>101</v>
      </c>
    </row>
    <row r="17" spans="1:11" ht="14.4" customHeight="1">
      <c r="A17" s="16">
        <v>2014</v>
      </c>
      <c r="B17" s="3">
        <v>1.08</v>
      </c>
      <c r="C17" s="17">
        <v>1.08</v>
      </c>
      <c r="E17" t="s">
        <v>31</v>
      </c>
      <c r="F17">
        <v>3.31</v>
      </c>
      <c r="G17" t="s">
        <v>31</v>
      </c>
      <c r="H17">
        <v>3.31</v>
      </c>
    </row>
    <row r="18" spans="1:11" ht="14.4" customHeight="1">
      <c r="A18" s="16">
        <v>2015</v>
      </c>
      <c r="B18" s="3">
        <v>1.1100000000000001</v>
      </c>
      <c r="C18" s="17">
        <v>1.1100000000000001</v>
      </c>
      <c r="E18" t="s">
        <v>32</v>
      </c>
      <c r="F18">
        <v>0.78</v>
      </c>
      <c r="G18" t="s">
        <v>32</v>
      </c>
      <c r="H18">
        <v>0.78</v>
      </c>
    </row>
    <row r="19" spans="1:11" ht="14.4" customHeight="1">
      <c r="A19" s="16">
        <v>2016</v>
      </c>
      <c r="B19" s="3">
        <v>1.1499999999999999</v>
      </c>
      <c r="C19" s="17">
        <v>1.1499999999999999</v>
      </c>
      <c r="E19" s="6" t="s">
        <v>33</v>
      </c>
      <c r="F19" s="6">
        <v>0.14909493677084701</v>
      </c>
      <c r="G19" s="6" t="s">
        <v>33</v>
      </c>
      <c r="H19" s="6">
        <v>0.14909493677084701</v>
      </c>
    </row>
    <row r="20" spans="1:11" ht="14.4" customHeight="1">
      <c r="A20" s="16">
        <v>2017</v>
      </c>
      <c r="B20" s="3">
        <v>1.17</v>
      </c>
      <c r="C20" s="17">
        <v>1.17</v>
      </c>
    </row>
    <row r="21" spans="1:11" ht="14.4" customHeight="1">
      <c r="A21" s="16">
        <v>2018</v>
      </c>
      <c r="B21" s="3">
        <v>1.2</v>
      </c>
      <c r="C21" s="17">
        <v>1.2</v>
      </c>
    </row>
    <row r="22" spans="1:11" ht="14.4" customHeight="1">
      <c r="A22" s="16">
        <v>2019</v>
      </c>
      <c r="B22" s="3">
        <v>1.22</v>
      </c>
      <c r="C22" s="17">
        <v>1.22</v>
      </c>
      <c r="E22" s="5" t="s">
        <v>34</v>
      </c>
      <c r="F22" s="5"/>
      <c r="G22" s="5"/>
      <c r="H22" s="5"/>
      <c r="I22" s="5"/>
    </row>
    <row r="23" spans="1:11" ht="14.4" customHeight="1">
      <c r="A23" s="16">
        <v>2020</v>
      </c>
      <c r="B23" s="3">
        <v>1.25</v>
      </c>
      <c r="C23" s="17">
        <v>1.25</v>
      </c>
    </row>
    <row r="24" spans="1:11" ht="14.4" customHeight="1">
      <c r="A24" s="16">
        <v>2021</v>
      </c>
      <c r="B24" s="3">
        <v>1.27</v>
      </c>
      <c r="C24" s="17">
        <v>1.27</v>
      </c>
      <c r="E24" t="s">
        <v>35</v>
      </c>
    </row>
    <row r="25" spans="1:11" ht="14.4" customHeight="1">
      <c r="A25" s="16">
        <v>2022</v>
      </c>
      <c r="B25" s="3">
        <v>1.3</v>
      </c>
      <c r="C25" s="17">
        <v>1.3</v>
      </c>
      <c r="E25" t="s">
        <v>36</v>
      </c>
      <c r="F25" t="s">
        <v>30</v>
      </c>
      <c r="G25" t="s">
        <v>29</v>
      </c>
      <c r="H25" t="s">
        <v>37</v>
      </c>
      <c r="I25" t="s">
        <v>38</v>
      </c>
    </row>
    <row r="26" spans="1:11" ht="14.4" customHeight="1">
      <c r="A26" s="16">
        <v>2023</v>
      </c>
      <c r="B26" s="3">
        <v>1.33</v>
      </c>
      <c r="C26" s="17">
        <v>1.33</v>
      </c>
      <c r="E26" t="s">
        <v>8</v>
      </c>
      <c r="F26">
        <v>101</v>
      </c>
      <c r="G26">
        <v>204.13</v>
      </c>
      <c r="H26">
        <v>2.02108910891089</v>
      </c>
      <c r="I26">
        <v>0.57039580198019701</v>
      </c>
    </row>
    <row r="27" spans="1:11" ht="14.4" customHeight="1">
      <c r="A27" s="16">
        <v>2024</v>
      </c>
      <c r="B27" s="3">
        <v>1.35</v>
      </c>
      <c r="C27" s="17">
        <v>1.35</v>
      </c>
      <c r="E27" t="s">
        <v>9</v>
      </c>
      <c r="F27">
        <v>101</v>
      </c>
      <c r="G27">
        <v>204.13</v>
      </c>
      <c r="H27">
        <v>2.02108910891089</v>
      </c>
      <c r="I27">
        <v>0.57039580198019701</v>
      </c>
    </row>
    <row r="28" spans="1:11" ht="14.4" customHeight="1">
      <c r="A28" s="16">
        <v>2025</v>
      </c>
      <c r="B28" s="3">
        <v>1.38</v>
      </c>
      <c r="C28" s="17">
        <v>1.38</v>
      </c>
    </row>
    <row r="29" spans="1:11" ht="14.4" customHeight="1">
      <c r="A29" s="16">
        <v>2026</v>
      </c>
      <c r="B29" s="3">
        <v>1.4</v>
      </c>
      <c r="C29" s="17">
        <v>1.4</v>
      </c>
    </row>
    <row r="30" spans="1:11" ht="14.4" customHeight="1">
      <c r="A30" s="16">
        <v>2027</v>
      </c>
      <c r="B30" s="3">
        <v>1.43</v>
      </c>
      <c r="C30" s="17">
        <v>1.43</v>
      </c>
      <c r="E30" s="5" t="s">
        <v>39</v>
      </c>
      <c r="F30" s="5"/>
      <c r="G30" s="5"/>
      <c r="H30" s="5"/>
      <c r="I30" s="5"/>
      <c r="J30" s="5"/>
      <c r="K30" s="5"/>
    </row>
    <row r="31" spans="1:11" ht="14.4" customHeight="1">
      <c r="A31" s="16">
        <v>2028</v>
      </c>
      <c r="B31" s="3">
        <v>1.45</v>
      </c>
      <c r="C31" s="17">
        <v>1.45</v>
      </c>
      <c r="E31" t="s">
        <v>40</v>
      </c>
      <c r="F31" t="s">
        <v>41</v>
      </c>
      <c r="G31" t="s">
        <v>42</v>
      </c>
      <c r="H31" t="s">
        <v>43</v>
      </c>
      <c r="I31" t="s">
        <v>44</v>
      </c>
      <c r="J31" t="s">
        <v>45</v>
      </c>
      <c r="K31" t="s">
        <v>46</v>
      </c>
    </row>
    <row r="32" spans="1:11" ht="14.4" customHeight="1">
      <c r="A32" s="16">
        <v>2029</v>
      </c>
      <c r="B32" s="3">
        <v>1.48</v>
      </c>
      <c r="C32" s="17">
        <v>1.48</v>
      </c>
      <c r="E32" t="s">
        <v>47</v>
      </c>
      <c r="F32">
        <v>0</v>
      </c>
      <c r="G32">
        <v>1</v>
      </c>
      <c r="H32">
        <v>0</v>
      </c>
      <c r="I32">
        <v>0</v>
      </c>
      <c r="J32">
        <v>1</v>
      </c>
      <c r="K32">
        <v>3.8883745353355499</v>
      </c>
    </row>
    <row r="33" spans="1:8" ht="14.4" customHeight="1">
      <c r="A33" s="16">
        <v>2030</v>
      </c>
      <c r="B33" s="3">
        <v>1.5</v>
      </c>
      <c r="C33" s="17">
        <v>1.5</v>
      </c>
      <c r="E33" t="s">
        <v>48</v>
      </c>
      <c r="F33">
        <v>114.079160396039</v>
      </c>
      <c r="G33">
        <v>200</v>
      </c>
      <c r="H33">
        <v>0.57039580198019701</v>
      </c>
    </row>
    <row r="34" spans="1:8" ht="14.4" customHeight="1">
      <c r="A34" s="16">
        <v>2031</v>
      </c>
      <c r="B34" s="3">
        <v>1.53</v>
      </c>
      <c r="C34" s="17">
        <v>1.53</v>
      </c>
    </row>
    <row r="35" spans="1:8" ht="14.4" customHeight="1">
      <c r="A35" s="16">
        <v>2032</v>
      </c>
      <c r="B35" s="3">
        <v>1.55</v>
      </c>
      <c r="C35" s="17">
        <v>1.55</v>
      </c>
      <c r="E35" t="s">
        <v>49</v>
      </c>
      <c r="F35">
        <v>114.079160396039</v>
      </c>
      <c r="G35">
        <v>201</v>
      </c>
    </row>
    <row r="36" spans="1:8" ht="14.4" customHeight="1">
      <c r="A36" s="16">
        <v>2033</v>
      </c>
      <c r="B36" s="3">
        <v>1.58</v>
      </c>
      <c r="C36" s="17">
        <v>1.58</v>
      </c>
    </row>
    <row r="37" spans="1:8" ht="14.4" customHeight="1">
      <c r="A37" s="16">
        <v>2034</v>
      </c>
      <c r="B37" s="3">
        <v>1.6</v>
      </c>
      <c r="C37" s="17">
        <v>1.6</v>
      </c>
      <c r="E37" s="9" t="s">
        <v>50</v>
      </c>
      <c r="F37" s="9"/>
      <c r="G37" s="9"/>
    </row>
    <row r="38" spans="1:8" ht="14.4" customHeight="1">
      <c r="A38" s="16">
        <v>2035</v>
      </c>
      <c r="B38" s="3">
        <v>1.63</v>
      </c>
      <c r="C38" s="17">
        <v>1.63</v>
      </c>
    </row>
    <row r="39" spans="1:8" ht="14.4" customHeight="1">
      <c r="A39" s="16">
        <v>2036</v>
      </c>
      <c r="B39" s="3">
        <v>1.65</v>
      </c>
      <c r="C39" s="17">
        <v>1.65</v>
      </c>
      <c r="F39" t="s">
        <v>8</v>
      </c>
      <c r="G39" t="s">
        <v>9</v>
      </c>
    </row>
    <row r="40" spans="1:8" ht="14.4" customHeight="1">
      <c r="A40" s="16">
        <v>2037</v>
      </c>
      <c r="B40" s="3">
        <v>1.68</v>
      </c>
      <c r="C40" s="17">
        <v>1.68</v>
      </c>
      <c r="E40" t="s">
        <v>18</v>
      </c>
      <c r="F40">
        <v>2.02108910891089</v>
      </c>
      <c r="G40">
        <v>2.02108910891089</v>
      </c>
    </row>
    <row r="41" spans="1:8" ht="14.4" customHeight="1">
      <c r="A41" s="16">
        <v>2038</v>
      </c>
      <c r="B41" s="3">
        <v>1.71</v>
      </c>
      <c r="C41" s="17">
        <v>1.71</v>
      </c>
      <c r="E41" t="s">
        <v>38</v>
      </c>
      <c r="F41">
        <v>0.57039580198019701</v>
      </c>
      <c r="G41">
        <v>0.57039580198019701</v>
      </c>
    </row>
    <row r="42" spans="1:8" ht="14.4" customHeight="1">
      <c r="A42" s="16">
        <v>2039</v>
      </c>
      <c r="B42" s="3">
        <v>1.73</v>
      </c>
      <c r="C42" s="17">
        <v>1.73</v>
      </c>
      <c r="E42" t="s">
        <v>51</v>
      </c>
      <c r="F42">
        <v>101</v>
      </c>
      <c r="G42">
        <v>101</v>
      </c>
    </row>
    <row r="43" spans="1:8" ht="14.4" customHeight="1">
      <c r="A43" s="16">
        <v>2040</v>
      </c>
      <c r="B43" s="3">
        <v>1.76</v>
      </c>
      <c r="C43" s="17">
        <v>1.76</v>
      </c>
      <c r="E43" t="s">
        <v>52</v>
      </c>
      <c r="F43">
        <v>1</v>
      </c>
    </row>
    <row r="44" spans="1:8" ht="14.4" customHeight="1">
      <c r="A44" s="16">
        <v>2041</v>
      </c>
      <c r="B44" s="3">
        <v>1.78</v>
      </c>
      <c r="C44" s="17">
        <v>1.78</v>
      </c>
      <c r="E44" t="s">
        <v>53</v>
      </c>
      <c r="F44">
        <v>0</v>
      </c>
    </row>
    <row r="45" spans="1:8" ht="14.4" customHeight="1">
      <c r="A45" s="16">
        <v>2042</v>
      </c>
      <c r="B45" s="3">
        <v>1.81</v>
      </c>
      <c r="C45" s="17">
        <v>1.81</v>
      </c>
      <c r="E45" t="s">
        <v>42</v>
      </c>
      <c r="F45">
        <v>100</v>
      </c>
    </row>
    <row r="46" spans="1:8" ht="14.4" customHeight="1">
      <c r="A46" s="16">
        <v>2043</v>
      </c>
      <c r="B46" s="3">
        <v>1.83</v>
      </c>
      <c r="C46" s="17">
        <v>1.83</v>
      </c>
      <c r="E46" t="s">
        <v>54</v>
      </c>
    </row>
    <row r="47" spans="1:8" ht="14.4" customHeight="1">
      <c r="A47" s="16">
        <v>2044</v>
      </c>
      <c r="B47" s="3">
        <v>1.86</v>
      </c>
      <c r="C47" s="17">
        <v>1.86</v>
      </c>
      <c r="E47" t="s">
        <v>55</v>
      </c>
    </row>
    <row r="48" spans="1:8" ht="14.4" customHeight="1">
      <c r="A48" s="16">
        <v>2045</v>
      </c>
      <c r="B48" s="3">
        <v>1.89</v>
      </c>
      <c r="C48" s="17">
        <v>1.89</v>
      </c>
      <c r="E48" t="s">
        <v>56</v>
      </c>
      <c r="F48">
        <v>1.6602342657437701</v>
      </c>
    </row>
    <row r="49" spans="1:6" ht="14.4" customHeight="1">
      <c r="A49" s="16">
        <v>2046</v>
      </c>
      <c r="B49" s="3">
        <v>1.91</v>
      </c>
      <c r="C49" s="17">
        <v>1.91</v>
      </c>
      <c r="E49" t="s">
        <v>57</v>
      </c>
    </row>
    <row r="50" spans="1:6" ht="14.4" customHeight="1">
      <c r="A50" s="16">
        <v>2047</v>
      </c>
      <c r="B50" s="3">
        <v>1.94</v>
      </c>
      <c r="C50" s="17">
        <v>1.94</v>
      </c>
      <c r="E50" t="s">
        <v>58</v>
      </c>
      <c r="F50">
        <v>1.98397146632294</v>
      </c>
    </row>
    <row r="51" spans="1:6" ht="14.4" customHeight="1">
      <c r="A51" s="16">
        <v>2048</v>
      </c>
      <c r="B51" s="3">
        <v>1.97</v>
      </c>
      <c r="C51" s="17">
        <v>1.97</v>
      </c>
    </row>
    <row r="52" spans="1:6" ht="14.4" customHeight="1">
      <c r="A52" s="16">
        <v>2049</v>
      </c>
      <c r="B52" s="3">
        <v>1.99</v>
      </c>
      <c r="C52" s="17">
        <v>1.99</v>
      </c>
    </row>
    <row r="53" spans="1:6" ht="14.4" customHeight="1">
      <c r="A53" s="16">
        <v>2050</v>
      </c>
      <c r="B53" s="3">
        <v>2.02</v>
      </c>
      <c r="C53" s="17">
        <v>2.02</v>
      </c>
    </row>
    <row r="54" spans="1:6" ht="14.4" customHeight="1">
      <c r="A54" s="16">
        <v>2051</v>
      </c>
      <c r="B54" s="3">
        <v>2.04</v>
      </c>
      <c r="C54" s="17">
        <v>2.04</v>
      </c>
    </row>
    <row r="55" spans="1:6" ht="14.4" customHeight="1">
      <c r="A55" s="16">
        <v>2052</v>
      </c>
      <c r="B55" s="3">
        <v>2.0699999999999998</v>
      </c>
      <c r="C55" s="17">
        <v>2.0699999999999998</v>
      </c>
    </row>
    <row r="56" spans="1:6" ht="14.4" customHeight="1">
      <c r="A56" s="16">
        <v>2053</v>
      </c>
      <c r="B56" s="3">
        <v>2.09</v>
      </c>
      <c r="C56" s="17">
        <v>2.09</v>
      </c>
    </row>
    <row r="57" spans="1:6" ht="14.4" customHeight="1">
      <c r="A57" s="16">
        <v>2054</v>
      </c>
      <c r="B57" s="3">
        <v>2.12</v>
      </c>
      <c r="C57" s="17">
        <v>2.12</v>
      </c>
    </row>
    <row r="58" spans="1:6" ht="14.4" customHeight="1">
      <c r="A58" s="16">
        <v>2055</v>
      </c>
      <c r="B58" s="3">
        <v>2.14</v>
      </c>
      <c r="C58" s="17">
        <v>2.14</v>
      </c>
    </row>
    <row r="59" spans="1:6" ht="14.4" customHeight="1">
      <c r="A59" s="16">
        <v>2056</v>
      </c>
      <c r="B59" s="3">
        <v>2.17</v>
      </c>
      <c r="C59" s="17">
        <v>2.17</v>
      </c>
    </row>
    <row r="60" spans="1:6" ht="14.4" customHeight="1">
      <c r="A60" s="16">
        <v>2057</v>
      </c>
      <c r="B60" s="3">
        <v>2.2000000000000002</v>
      </c>
      <c r="C60" s="17">
        <v>2.2000000000000002</v>
      </c>
    </row>
    <row r="61" spans="1:6" ht="14.4" customHeight="1">
      <c r="A61" s="16">
        <v>2058</v>
      </c>
      <c r="B61" s="3">
        <v>2.2200000000000002</v>
      </c>
      <c r="C61" s="17">
        <v>2.2200000000000002</v>
      </c>
    </row>
    <row r="62" spans="1:6" ht="14.4" customHeight="1">
      <c r="A62" s="16">
        <v>2059</v>
      </c>
      <c r="B62" s="3">
        <v>2.25</v>
      </c>
      <c r="C62" s="17">
        <v>2.25</v>
      </c>
    </row>
    <row r="63" spans="1:6" ht="14.4" customHeight="1">
      <c r="A63" s="16">
        <v>2060</v>
      </c>
      <c r="B63" s="3">
        <v>2.27</v>
      </c>
      <c r="C63" s="17">
        <v>2.27</v>
      </c>
    </row>
    <row r="64" spans="1:6" ht="14.4" customHeight="1">
      <c r="A64" s="16">
        <v>2061</v>
      </c>
      <c r="B64" s="3">
        <v>2.2999999999999998</v>
      </c>
      <c r="C64" s="17">
        <v>2.2999999999999998</v>
      </c>
    </row>
    <row r="65" spans="1:3" ht="14.4" customHeight="1">
      <c r="A65" s="16">
        <v>2062</v>
      </c>
      <c r="B65" s="3">
        <v>2.3199999999999998</v>
      </c>
      <c r="C65" s="17">
        <v>2.3199999999999998</v>
      </c>
    </row>
    <row r="66" spans="1:3" ht="14.4" customHeight="1">
      <c r="A66" s="16">
        <v>2063</v>
      </c>
      <c r="B66" s="3">
        <v>2.35</v>
      </c>
      <c r="C66" s="17">
        <v>2.35</v>
      </c>
    </row>
    <row r="67" spans="1:3" ht="14.4" customHeight="1">
      <c r="A67" s="16">
        <v>2064</v>
      </c>
      <c r="B67" s="3">
        <v>2.37</v>
      </c>
      <c r="C67" s="17">
        <v>2.37</v>
      </c>
    </row>
    <row r="68" spans="1:3" ht="14.4" customHeight="1">
      <c r="A68" s="16">
        <v>2065</v>
      </c>
      <c r="B68" s="3">
        <v>2.4</v>
      </c>
      <c r="C68" s="17">
        <v>2.4</v>
      </c>
    </row>
    <row r="69" spans="1:3" ht="14.4" customHeight="1">
      <c r="A69" s="16">
        <v>2066</v>
      </c>
      <c r="B69" s="3">
        <v>2.4300000000000002</v>
      </c>
      <c r="C69" s="17">
        <v>2.4300000000000002</v>
      </c>
    </row>
    <row r="70" spans="1:3" ht="14.4" customHeight="1">
      <c r="A70" s="16">
        <v>2067</v>
      </c>
      <c r="B70" s="3">
        <v>2.4500000000000002</v>
      </c>
      <c r="C70" s="17">
        <v>2.4500000000000002</v>
      </c>
    </row>
    <row r="71" spans="1:3" ht="14.4" customHeight="1">
      <c r="A71" s="16">
        <v>2068</v>
      </c>
      <c r="B71" s="3">
        <v>2.48</v>
      </c>
      <c r="C71" s="17">
        <v>2.48</v>
      </c>
    </row>
    <row r="72" spans="1:3" ht="14.4" customHeight="1">
      <c r="A72" s="16">
        <v>2069</v>
      </c>
      <c r="B72" s="3">
        <v>2.5099999999999998</v>
      </c>
      <c r="C72" s="17">
        <v>2.5099999999999998</v>
      </c>
    </row>
    <row r="73" spans="1:3" ht="14.4" customHeight="1">
      <c r="A73" s="16">
        <v>2070</v>
      </c>
      <c r="B73" s="3">
        <v>2.5299999999999998</v>
      </c>
      <c r="C73" s="17">
        <v>2.5299999999999998</v>
      </c>
    </row>
    <row r="74" spans="1:3" ht="14.4" customHeight="1">
      <c r="A74" s="16">
        <v>2071</v>
      </c>
      <c r="B74" s="3">
        <v>2.56</v>
      </c>
      <c r="C74" s="17">
        <v>2.56</v>
      </c>
    </row>
    <row r="75" spans="1:3" ht="14.4" customHeight="1">
      <c r="A75" s="16">
        <v>2072</v>
      </c>
      <c r="B75" s="3">
        <v>2.58</v>
      </c>
      <c r="C75" s="17">
        <v>2.58</v>
      </c>
    </row>
    <row r="76" spans="1:3" ht="14.4" customHeight="1">
      <c r="A76" s="16">
        <v>2073</v>
      </c>
      <c r="B76" s="3">
        <v>2.61</v>
      </c>
      <c r="C76" s="17">
        <v>2.61</v>
      </c>
    </row>
    <row r="77" spans="1:3" ht="14.4" customHeight="1">
      <c r="A77" s="16">
        <v>2074</v>
      </c>
      <c r="B77" s="3">
        <v>2.64</v>
      </c>
      <c r="C77" s="17">
        <v>2.64</v>
      </c>
    </row>
    <row r="78" spans="1:3" ht="14.4" customHeight="1">
      <c r="A78" s="16">
        <v>2075</v>
      </c>
      <c r="B78" s="3">
        <v>2.66</v>
      </c>
      <c r="C78" s="17">
        <v>2.66</v>
      </c>
    </row>
    <row r="79" spans="1:3" ht="14.4" customHeight="1">
      <c r="A79" s="16">
        <v>2076</v>
      </c>
      <c r="B79" s="3">
        <v>2.69</v>
      </c>
      <c r="C79" s="17">
        <v>2.69</v>
      </c>
    </row>
    <row r="80" spans="1:3" ht="14.4" customHeight="1">
      <c r="A80" s="16">
        <v>2077</v>
      </c>
      <c r="B80" s="3">
        <v>2.71</v>
      </c>
      <c r="C80" s="17">
        <v>2.71</v>
      </c>
    </row>
    <row r="81" spans="1:3" ht="14.4" customHeight="1">
      <c r="A81" s="16">
        <v>2078</v>
      </c>
      <c r="B81" s="3">
        <v>2.74</v>
      </c>
      <c r="C81" s="17">
        <v>2.74</v>
      </c>
    </row>
    <row r="82" spans="1:3" ht="14.4" customHeight="1">
      <c r="A82" s="16">
        <v>2079</v>
      </c>
      <c r="B82" s="3">
        <v>2.77</v>
      </c>
      <c r="C82" s="17">
        <v>2.77</v>
      </c>
    </row>
    <row r="83" spans="1:3" ht="14.4" customHeight="1">
      <c r="A83" s="16">
        <v>2080</v>
      </c>
      <c r="B83" s="3">
        <v>2.8</v>
      </c>
      <c r="C83" s="17">
        <v>2.8</v>
      </c>
    </row>
    <row r="84" spans="1:3" ht="14.4" customHeight="1">
      <c r="A84" s="16">
        <v>2081</v>
      </c>
      <c r="B84" s="3">
        <v>2.82</v>
      </c>
      <c r="C84" s="17">
        <v>2.82</v>
      </c>
    </row>
    <row r="85" spans="1:3" ht="14.4" customHeight="1">
      <c r="A85" s="16">
        <v>2082</v>
      </c>
      <c r="B85" s="3">
        <v>2.85</v>
      </c>
      <c r="C85" s="17">
        <v>2.85</v>
      </c>
    </row>
    <row r="86" spans="1:3" ht="14.4" customHeight="1">
      <c r="A86" s="16">
        <v>2083</v>
      </c>
      <c r="B86" s="3">
        <v>2.88</v>
      </c>
      <c r="C86" s="17">
        <v>2.88</v>
      </c>
    </row>
    <row r="87" spans="1:3" ht="14.4" customHeight="1">
      <c r="A87" s="16">
        <v>2084</v>
      </c>
      <c r="B87" s="3">
        <v>2.9</v>
      </c>
      <c r="C87" s="17">
        <v>2.9</v>
      </c>
    </row>
    <row r="88" spans="1:3" ht="14.4" customHeight="1">
      <c r="A88" s="16">
        <v>2085</v>
      </c>
      <c r="B88" s="3">
        <v>2.93</v>
      </c>
      <c r="C88" s="17">
        <v>2.93</v>
      </c>
    </row>
    <row r="89" spans="1:3" ht="14.4" customHeight="1">
      <c r="A89" s="16">
        <v>2086</v>
      </c>
      <c r="B89" s="3">
        <v>2.95</v>
      </c>
      <c r="C89" s="17">
        <v>2.95</v>
      </c>
    </row>
    <row r="90" spans="1:3" ht="14.4" customHeight="1">
      <c r="A90" s="16">
        <v>2087</v>
      </c>
      <c r="B90" s="3">
        <v>2.98</v>
      </c>
      <c r="C90" s="17">
        <v>2.98</v>
      </c>
    </row>
    <row r="91" spans="1:3" ht="14.4" customHeight="1">
      <c r="A91" s="16">
        <v>2088</v>
      </c>
      <c r="B91" s="3">
        <v>3.01</v>
      </c>
      <c r="C91" s="17">
        <v>3.01</v>
      </c>
    </row>
    <row r="92" spans="1:3" ht="14.4" customHeight="1">
      <c r="A92" s="16">
        <v>2089</v>
      </c>
      <c r="B92" s="3">
        <v>3.04</v>
      </c>
      <c r="C92" s="17">
        <v>3.04</v>
      </c>
    </row>
    <row r="93" spans="1:3" ht="14.4" customHeight="1">
      <c r="A93" s="16">
        <v>2090</v>
      </c>
      <c r="B93" s="3">
        <v>3.06</v>
      </c>
      <c r="C93" s="17">
        <v>3.06</v>
      </c>
    </row>
    <row r="94" spans="1:3" ht="14.4" customHeight="1">
      <c r="A94" s="16">
        <v>2091</v>
      </c>
      <c r="B94" s="3">
        <v>3.09</v>
      </c>
      <c r="C94" s="17">
        <v>3.09</v>
      </c>
    </row>
    <row r="95" spans="1:3" ht="14.4" customHeight="1">
      <c r="A95" s="16">
        <v>2092</v>
      </c>
      <c r="B95" s="3">
        <v>3.12</v>
      </c>
      <c r="C95" s="17">
        <v>3.12</v>
      </c>
    </row>
    <row r="96" spans="1:3" ht="14.4" customHeight="1">
      <c r="A96" s="16">
        <v>2093</v>
      </c>
      <c r="B96" s="3">
        <v>3.14</v>
      </c>
      <c r="C96" s="17">
        <v>3.14</v>
      </c>
    </row>
    <row r="97" spans="1:3" ht="14.4" customHeight="1">
      <c r="A97" s="16">
        <v>2094</v>
      </c>
      <c r="B97" s="3">
        <v>3.17</v>
      </c>
      <c r="C97" s="17">
        <v>3.17</v>
      </c>
    </row>
    <row r="98" spans="1:3" ht="14.4" customHeight="1">
      <c r="A98" s="16">
        <v>2095</v>
      </c>
      <c r="B98" s="3">
        <v>3.19</v>
      </c>
      <c r="C98" s="17">
        <v>3.19</v>
      </c>
    </row>
    <row r="99" spans="1:3" ht="14.4" customHeight="1">
      <c r="A99" s="16">
        <v>2096</v>
      </c>
      <c r="B99" s="3">
        <v>3.22</v>
      </c>
      <c r="C99" s="17">
        <v>3.22</v>
      </c>
    </row>
    <row r="100" spans="1:3" ht="14.4" customHeight="1">
      <c r="A100" s="16">
        <v>2097</v>
      </c>
      <c r="B100" s="3">
        <v>3.24</v>
      </c>
      <c r="C100" s="17">
        <v>3.24</v>
      </c>
    </row>
    <row r="101" spans="1:3" ht="14.4" customHeight="1">
      <c r="A101" s="16">
        <v>2098</v>
      </c>
      <c r="B101" s="3">
        <v>3.27</v>
      </c>
      <c r="C101" s="17">
        <v>3.27</v>
      </c>
    </row>
    <row r="102" spans="1:3" ht="14.4" customHeight="1">
      <c r="A102" s="16">
        <v>2099</v>
      </c>
      <c r="B102" s="3">
        <v>3.29</v>
      </c>
      <c r="C102" s="17">
        <v>3.29</v>
      </c>
    </row>
    <row r="103" spans="1:3" ht="14.4" customHeight="1">
      <c r="A103" s="19">
        <v>2100</v>
      </c>
      <c r="B103" s="20">
        <v>3.31</v>
      </c>
      <c r="C103" s="21">
        <v>3.31</v>
      </c>
    </row>
  </sheetData>
  <mergeCells count="2">
    <mergeCell ref="E37:G37"/>
    <mergeCell ref="A1:C1"/>
  </mergeCells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D7405D62-D8D2-4470-B46E-E5EB99D0EEF4}">
          <xm:f>'Probability and statistics'!1:1048576</xm:f>
        </x15:webExtension>
        <x15:webExtension appRef="{D6C1F66A-4BDB-42EE-94EB-BF943ACCCD0E}">
          <xm:f>'Probability and statistics'!$B$2:$C$103</xm:f>
        </x15:webExtension>
        <x15:webExtension appRef="{E0255209-7143-46F4-B3B9-8874D949E3AE}">
          <xm:f>'Probability and statistics'!$E$37:$G$51</xm:f>
        </x15:webExtension>
        <x15:webExtension appRef="{5B33F7B1-95CE-4322-98FA-82DBAD5D60BD}">
          <xm:f>'Probability and statistics'!$B$2:$B$103</xm:f>
        </x15:webExtension>
        <x15:webExtension appRef="{7ECCFC86-625A-4059-96DA-9727B6AFCB3A}">
          <xm:f>'Probability and statistics'!$C$2:$C$103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84F8-6F69-4A1C-8D58-DEEBED7DCD01}">
  <dimension ref="A1:H103"/>
  <sheetViews>
    <sheetView zoomScale="49" zoomScaleNormal="58" workbookViewId="0">
      <selection activeCell="O49" sqref="O49"/>
    </sheetView>
  </sheetViews>
  <sheetFormatPr defaultRowHeight="14.4"/>
  <cols>
    <col min="2" max="2" width="11.5546875" bestFit="1" customWidth="1"/>
    <col min="3" max="3" width="28.33203125" customWidth="1"/>
    <col min="4" max="4" width="12.44140625" customWidth="1"/>
    <col min="5" max="5" width="29.88671875" bestFit="1" customWidth="1"/>
    <col min="6" max="6" width="14.33203125" customWidth="1"/>
    <col min="8" max="8" width="14" customWidth="1"/>
  </cols>
  <sheetData>
    <row r="1" spans="1:8">
      <c r="E1" t="s">
        <v>61</v>
      </c>
    </row>
    <row r="2" spans="1:8">
      <c r="A2" t="s">
        <v>1</v>
      </c>
      <c r="B2" t="s">
        <v>2</v>
      </c>
      <c r="C2" t="s">
        <v>9</v>
      </c>
      <c r="D2" t="s">
        <v>64</v>
      </c>
      <c r="E2" s="4" t="s">
        <v>65</v>
      </c>
      <c r="F2" t="s">
        <v>59</v>
      </c>
      <c r="G2" s="4" t="s">
        <v>66</v>
      </c>
      <c r="H2" t="s">
        <v>62</v>
      </c>
    </row>
    <row r="3" spans="1:8">
      <c r="A3">
        <v>2000</v>
      </c>
      <c r="B3">
        <v>110.98</v>
      </c>
      <c r="C3">
        <v>0.78</v>
      </c>
      <c r="E3">
        <f t="shared" ref="E3:E34" si="0">B3*1.1</f>
        <v>122.07800000000002</v>
      </c>
      <c r="F3">
        <f xml:space="preserve"> 0.0118*E3 + 1.0234</f>
        <v>2.4639204000000001</v>
      </c>
      <c r="G3">
        <f>B3*0.9</f>
        <v>99.882000000000005</v>
      </c>
      <c r="H3">
        <f xml:space="preserve"> 0.0118*G3 + 1.0234</f>
        <v>2.2020076</v>
      </c>
    </row>
    <row r="4" spans="1:8">
      <c r="A4">
        <v>2001</v>
      </c>
      <c r="B4">
        <v>113.59</v>
      </c>
      <c r="C4">
        <v>0.82</v>
      </c>
      <c r="E4">
        <f t="shared" si="0"/>
        <v>124.94900000000001</v>
      </c>
      <c r="F4">
        <f t="shared" ref="F4:F67" si="1" xml:space="preserve"> 0.0118*E4 + 1.0234</f>
        <v>2.4977982000000001</v>
      </c>
      <c r="G4">
        <f t="shared" ref="G4:G67" si="2">B4*0.9</f>
        <v>102.23100000000001</v>
      </c>
      <c r="H4">
        <f t="shared" ref="H4:H67" si="3" xml:space="preserve"> 0.0118*G4 + 1.0234</f>
        <v>2.2297258000000002</v>
      </c>
    </row>
    <row r="5" spans="1:8">
      <c r="A5">
        <v>2002</v>
      </c>
      <c r="B5">
        <v>116.16</v>
      </c>
      <c r="C5">
        <v>0.85</v>
      </c>
      <c r="E5">
        <f t="shared" si="0"/>
        <v>127.77600000000001</v>
      </c>
      <c r="F5">
        <f t="shared" si="1"/>
        <v>2.5311568000000002</v>
      </c>
      <c r="G5">
        <f t="shared" si="2"/>
        <v>104.544</v>
      </c>
      <c r="H5">
        <f t="shared" si="3"/>
        <v>2.2570192000000002</v>
      </c>
    </row>
    <row r="6" spans="1:8">
      <c r="A6">
        <v>2003</v>
      </c>
      <c r="B6">
        <v>118.78</v>
      </c>
      <c r="C6">
        <v>0.87</v>
      </c>
      <c r="E6">
        <f t="shared" si="0"/>
        <v>130.65800000000002</v>
      </c>
      <c r="F6">
        <f t="shared" si="1"/>
        <v>2.5651644000000005</v>
      </c>
      <c r="G6">
        <f t="shared" si="2"/>
        <v>106.902</v>
      </c>
      <c r="H6">
        <f t="shared" si="3"/>
        <v>2.2848436000000003</v>
      </c>
    </row>
    <row r="7" spans="1:8">
      <c r="A7">
        <v>2004</v>
      </c>
      <c r="B7">
        <v>121.74</v>
      </c>
      <c r="C7">
        <v>0.88</v>
      </c>
      <c r="E7">
        <f t="shared" si="0"/>
        <v>133.91400000000002</v>
      </c>
      <c r="F7">
        <f t="shared" si="1"/>
        <v>2.6035852000000004</v>
      </c>
      <c r="G7">
        <f t="shared" si="2"/>
        <v>109.566</v>
      </c>
      <c r="H7">
        <f t="shared" si="3"/>
        <v>2.3162788000000001</v>
      </c>
    </row>
    <row r="8" spans="1:8">
      <c r="A8">
        <v>2005</v>
      </c>
      <c r="B8">
        <v>125.15</v>
      </c>
      <c r="C8">
        <v>0.89</v>
      </c>
      <c r="E8">
        <f t="shared" si="0"/>
        <v>137.66500000000002</v>
      </c>
      <c r="F8">
        <f t="shared" si="1"/>
        <v>2.6478470000000005</v>
      </c>
      <c r="G8">
        <f t="shared" si="2"/>
        <v>112.63500000000001</v>
      </c>
      <c r="H8">
        <f t="shared" si="3"/>
        <v>2.3524929999999999</v>
      </c>
    </row>
    <row r="9" spans="1:8">
      <c r="A9">
        <v>2006</v>
      </c>
      <c r="B9">
        <v>128.77000000000001</v>
      </c>
      <c r="C9">
        <v>0.9</v>
      </c>
      <c r="E9">
        <f t="shared" si="0"/>
        <v>141.64700000000002</v>
      </c>
      <c r="F9">
        <f t="shared" si="1"/>
        <v>2.6948346000000001</v>
      </c>
      <c r="G9">
        <f t="shared" si="2"/>
        <v>115.89300000000001</v>
      </c>
      <c r="H9">
        <f t="shared" si="3"/>
        <v>2.3909374000000003</v>
      </c>
    </row>
    <row r="10" spans="1:8">
      <c r="A10">
        <v>2007</v>
      </c>
      <c r="B10">
        <v>132.63999999999999</v>
      </c>
      <c r="C10">
        <v>0.9</v>
      </c>
      <c r="E10">
        <f t="shared" si="0"/>
        <v>145.904</v>
      </c>
      <c r="F10">
        <f t="shared" si="1"/>
        <v>2.7450672000000003</v>
      </c>
      <c r="G10">
        <f t="shared" si="2"/>
        <v>119.37599999999999</v>
      </c>
      <c r="H10">
        <f t="shared" si="3"/>
        <v>2.4320367999999997</v>
      </c>
    </row>
    <row r="11" spans="1:8">
      <c r="A11">
        <v>2008</v>
      </c>
      <c r="B11">
        <v>136.46</v>
      </c>
      <c r="C11">
        <v>0.91</v>
      </c>
      <c r="E11">
        <f t="shared" si="0"/>
        <v>150.10600000000002</v>
      </c>
      <c r="F11">
        <f t="shared" si="1"/>
        <v>2.7946508000000003</v>
      </c>
      <c r="G11">
        <f t="shared" si="2"/>
        <v>122.81400000000001</v>
      </c>
      <c r="H11">
        <f t="shared" si="3"/>
        <v>2.4726052000000003</v>
      </c>
    </row>
    <row r="12" spans="1:8">
      <c r="A12">
        <v>2009</v>
      </c>
      <c r="B12">
        <v>139.18</v>
      </c>
      <c r="C12">
        <v>0.93</v>
      </c>
      <c r="E12">
        <f t="shared" si="0"/>
        <v>153.09800000000001</v>
      </c>
      <c r="F12">
        <f t="shared" si="1"/>
        <v>2.8299564000000004</v>
      </c>
      <c r="G12">
        <f t="shared" si="2"/>
        <v>125.26200000000001</v>
      </c>
      <c r="H12">
        <f t="shared" si="3"/>
        <v>2.5014916000000005</v>
      </c>
    </row>
    <row r="13" spans="1:8">
      <c r="A13">
        <v>2010</v>
      </c>
      <c r="B13">
        <v>140.63999999999999</v>
      </c>
      <c r="C13">
        <v>0.95</v>
      </c>
      <c r="E13">
        <f t="shared" si="0"/>
        <v>154.70400000000001</v>
      </c>
      <c r="F13">
        <f t="shared" si="1"/>
        <v>2.8489072000000002</v>
      </c>
      <c r="G13">
        <f t="shared" si="2"/>
        <v>126.57599999999999</v>
      </c>
      <c r="H13">
        <f t="shared" si="3"/>
        <v>2.5169968000000003</v>
      </c>
    </row>
    <row r="14" spans="1:8">
      <c r="A14">
        <v>2011</v>
      </c>
      <c r="B14">
        <v>143.24</v>
      </c>
      <c r="C14">
        <v>0.98</v>
      </c>
      <c r="E14">
        <f t="shared" si="0"/>
        <v>157.56400000000002</v>
      </c>
      <c r="F14">
        <f t="shared" si="1"/>
        <v>2.8826552000000003</v>
      </c>
      <c r="G14">
        <f t="shared" si="2"/>
        <v>128.91600000000003</v>
      </c>
      <c r="H14">
        <f t="shared" si="3"/>
        <v>2.5446088000000007</v>
      </c>
    </row>
    <row r="15" spans="1:8">
      <c r="A15">
        <v>2012</v>
      </c>
      <c r="B15">
        <v>145.96</v>
      </c>
      <c r="C15">
        <v>1.01</v>
      </c>
      <c r="E15">
        <f t="shared" si="0"/>
        <v>160.55600000000001</v>
      </c>
      <c r="F15">
        <f t="shared" si="1"/>
        <v>2.9179608000000004</v>
      </c>
      <c r="G15">
        <f t="shared" si="2"/>
        <v>131.364</v>
      </c>
      <c r="H15">
        <f t="shared" si="3"/>
        <v>2.5734952</v>
      </c>
    </row>
    <row r="16" spans="1:8">
      <c r="A16">
        <v>2013</v>
      </c>
      <c r="B16">
        <v>148.35</v>
      </c>
      <c r="C16">
        <v>1.04</v>
      </c>
      <c r="E16">
        <f t="shared" si="0"/>
        <v>163.185</v>
      </c>
      <c r="F16">
        <f t="shared" si="1"/>
        <v>2.9489830000000001</v>
      </c>
      <c r="G16">
        <f t="shared" si="2"/>
        <v>133.51499999999999</v>
      </c>
      <c r="H16">
        <f t="shared" si="3"/>
        <v>2.5988769999999999</v>
      </c>
    </row>
    <row r="17" spans="1:8">
      <c r="A17">
        <v>2014</v>
      </c>
      <c r="B17">
        <v>150.54</v>
      </c>
      <c r="C17">
        <v>1.08</v>
      </c>
      <c r="E17">
        <f t="shared" si="0"/>
        <v>165.59399999999999</v>
      </c>
      <c r="F17">
        <f t="shared" si="1"/>
        <v>2.9774091999999999</v>
      </c>
      <c r="G17">
        <f t="shared" si="2"/>
        <v>135.48599999999999</v>
      </c>
      <c r="H17">
        <f t="shared" si="3"/>
        <v>2.6221348</v>
      </c>
    </row>
    <row r="18" spans="1:8">
      <c r="A18">
        <v>2015</v>
      </c>
      <c r="B18">
        <v>152.62</v>
      </c>
      <c r="C18">
        <v>1.1100000000000001</v>
      </c>
      <c r="E18">
        <f t="shared" si="0"/>
        <v>167.88200000000001</v>
      </c>
      <c r="F18">
        <f t="shared" si="1"/>
        <v>3.0044076000000004</v>
      </c>
      <c r="G18">
        <f t="shared" si="2"/>
        <v>137.358</v>
      </c>
      <c r="H18">
        <f t="shared" si="3"/>
        <v>2.6442244000000001</v>
      </c>
    </row>
    <row r="19" spans="1:8">
      <c r="A19">
        <v>2016</v>
      </c>
      <c r="B19">
        <v>154.25</v>
      </c>
      <c r="C19">
        <v>1.1499999999999999</v>
      </c>
      <c r="E19">
        <f t="shared" si="0"/>
        <v>169.67500000000001</v>
      </c>
      <c r="F19">
        <f t="shared" si="1"/>
        <v>3.0255650000000003</v>
      </c>
      <c r="G19">
        <f t="shared" si="2"/>
        <v>138.82500000000002</v>
      </c>
      <c r="H19">
        <f t="shared" si="3"/>
        <v>2.6615350000000002</v>
      </c>
    </row>
    <row r="20" spans="1:8">
      <c r="A20">
        <v>2017</v>
      </c>
      <c r="B20">
        <v>155.54</v>
      </c>
      <c r="C20">
        <v>1.17</v>
      </c>
      <c r="E20">
        <f t="shared" si="0"/>
        <v>171.09399999999999</v>
      </c>
      <c r="F20">
        <f t="shared" si="1"/>
        <v>3.0423092</v>
      </c>
      <c r="G20">
        <f t="shared" si="2"/>
        <v>139.98599999999999</v>
      </c>
      <c r="H20">
        <f t="shared" si="3"/>
        <v>2.6752348000000001</v>
      </c>
    </row>
    <row r="21" spans="1:8">
      <c r="A21">
        <v>2018</v>
      </c>
      <c r="B21">
        <v>156.78</v>
      </c>
      <c r="C21">
        <v>1.2</v>
      </c>
      <c r="E21">
        <f t="shared" si="0"/>
        <v>172.45800000000003</v>
      </c>
      <c r="F21">
        <f t="shared" si="1"/>
        <v>3.0584044000000006</v>
      </c>
      <c r="G21">
        <f t="shared" si="2"/>
        <v>141.102</v>
      </c>
      <c r="H21">
        <f t="shared" si="3"/>
        <v>2.6884036</v>
      </c>
    </row>
    <row r="22" spans="1:8">
      <c r="A22">
        <v>2019</v>
      </c>
      <c r="B22">
        <v>157.69</v>
      </c>
      <c r="C22">
        <v>1.22</v>
      </c>
      <c r="E22">
        <f t="shared" si="0"/>
        <v>173.459</v>
      </c>
      <c r="F22">
        <f t="shared" si="1"/>
        <v>3.0702162</v>
      </c>
      <c r="G22">
        <f t="shared" si="2"/>
        <v>141.92099999999999</v>
      </c>
      <c r="H22">
        <f t="shared" si="3"/>
        <v>2.6980678</v>
      </c>
    </row>
    <row r="23" spans="1:8">
      <c r="A23">
        <v>2020</v>
      </c>
      <c r="B23">
        <v>156.86000000000001</v>
      </c>
      <c r="C23">
        <v>1.25</v>
      </c>
      <c r="E23">
        <f t="shared" si="0"/>
        <v>172.54600000000002</v>
      </c>
      <c r="F23">
        <f t="shared" si="1"/>
        <v>3.0594428000000002</v>
      </c>
      <c r="G23">
        <f t="shared" si="2"/>
        <v>141.17400000000001</v>
      </c>
      <c r="H23">
        <f t="shared" si="3"/>
        <v>2.6892532000000005</v>
      </c>
    </row>
    <row r="24" spans="1:8">
      <c r="A24">
        <v>2021</v>
      </c>
      <c r="B24">
        <v>154.19999999999999</v>
      </c>
      <c r="C24">
        <v>1.27</v>
      </c>
      <c r="E24">
        <f t="shared" si="0"/>
        <v>169.62</v>
      </c>
      <c r="F24">
        <f t="shared" si="1"/>
        <v>3.0249160000000002</v>
      </c>
      <c r="G24">
        <f t="shared" si="2"/>
        <v>138.78</v>
      </c>
      <c r="H24">
        <f t="shared" si="3"/>
        <v>2.6610040000000001</v>
      </c>
    </row>
    <row r="25" spans="1:8">
      <c r="A25">
        <v>2022</v>
      </c>
      <c r="B25">
        <v>154.32</v>
      </c>
      <c r="C25">
        <v>1.3</v>
      </c>
      <c r="E25">
        <f t="shared" si="0"/>
        <v>169.75200000000001</v>
      </c>
      <c r="F25">
        <f t="shared" si="1"/>
        <v>3.0264736000000001</v>
      </c>
      <c r="G25">
        <f t="shared" si="2"/>
        <v>138.88800000000001</v>
      </c>
      <c r="H25">
        <f t="shared" si="3"/>
        <v>2.6622783999999999</v>
      </c>
    </row>
    <row r="26" spans="1:8">
      <c r="A26">
        <v>2023</v>
      </c>
      <c r="B26">
        <v>154.75</v>
      </c>
      <c r="C26">
        <v>1.33</v>
      </c>
      <c r="E26">
        <f t="shared" si="0"/>
        <v>170.22500000000002</v>
      </c>
      <c r="F26">
        <f t="shared" si="1"/>
        <v>3.0320550000000002</v>
      </c>
      <c r="G26">
        <f t="shared" si="2"/>
        <v>139.27500000000001</v>
      </c>
      <c r="H26">
        <f t="shared" si="3"/>
        <v>2.6668450000000004</v>
      </c>
    </row>
    <row r="27" spans="1:8">
      <c r="A27">
        <v>2024</v>
      </c>
      <c r="B27">
        <v>155.11000000000001</v>
      </c>
      <c r="C27">
        <v>1.35</v>
      </c>
      <c r="E27">
        <f t="shared" si="0"/>
        <v>170.62100000000004</v>
      </c>
      <c r="F27">
        <f t="shared" si="1"/>
        <v>3.0367278000000004</v>
      </c>
      <c r="G27">
        <f t="shared" si="2"/>
        <v>139.59900000000002</v>
      </c>
      <c r="H27">
        <f t="shared" si="3"/>
        <v>2.6706682000000002</v>
      </c>
    </row>
    <row r="28" spans="1:8">
      <c r="A28">
        <v>2025</v>
      </c>
      <c r="B28">
        <v>155</v>
      </c>
      <c r="C28">
        <v>1.38</v>
      </c>
      <c r="E28">
        <f t="shared" si="0"/>
        <v>170.5</v>
      </c>
      <c r="F28">
        <f t="shared" si="1"/>
        <v>3.0352999999999999</v>
      </c>
      <c r="G28">
        <f t="shared" si="2"/>
        <v>139.5</v>
      </c>
      <c r="H28">
        <f t="shared" si="3"/>
        <v>2.6695000000000002</v>
      </c>
    </row>
    <row r="29" spans="1:8">
      <c r="A29">
        <v>2026</v>
      </c>
      <c r="B29">
        <v>149.81</v>
      </c>
      <c r="C29">
        <v>1.4</v>
      </c>
      <c r="E29">
        <f t="shared" si="0"/>
        <v>164.79100000000003</v>
      </c>
      <c r="F29">
        <f t="shared" si="1"/>
        <v>2.9679338000000004</v>
      </c>
      <c r="G29">
        <f t="shared" si="2"/>
        <v>134.82900000000001</v>
      </c>
      <c r="H29">
        <f t="shared" si="3"/>
        <v>2.6143822000000001</v>
      </c>
    </row>
    <row r="30" spans="1:8">
      <c r="A30">
        <v>2027</v>
      </c>
      <c r="B30">
        <v>142.01</v>
      </c>
      <c r="C30">
        <v>1.43</v>
      </c>
      <c r="E30">
        <f t="shared" si="0"/>
        <v>156.21100000000001</v>
      </c>
      <c r="F30">
        <f t="shared" si="1"/>
        <v>2.8666898000000005</v>
      </c>
      <c r="G30">
        <f t="shared" si="2"/>
        <v>127.809</v>
      </c>
      <c r="H30">
        <f t="shared" si="3"/>
        <v>2.5315462000000002</v>
      </c>
    </row>
    <row r="31" spans="1:8">
      <c r="A31">
        <v>2028</v>
      </c>
      <c r="B31">
        <v>134.28</v>
      </c>
      <c r="C31">
        <v>1.45</v>
      </c>
      <c r="E31">
        <f t="shared" si="0"/>
        <v>147.70800000000003</v>
      </c>
      <c r="F31">
        <f t="shared" si="1"/>
        <v>2.7663544000000004</v>
      </c>
      <c r="G31">
        <f t="shared" si="2"/>
        <v>120.852</v>
      </c>
      <c r="H31">
        <f t="shared" si="3"/>
        <v>2.4494536</v>
      </c>
    </row>
    <row r="32" spans="1:8">
      <c r="A32">
        <v>2029</v>
      </c>
      <c r="B32">
        <v>126.75</v>
      </c>
      <c r="C32">
        <v>1.48</v>
      </c>
      <c r="E32">
        <f t="shared" si="0"/>
        <v>139.42500000000001</v>
      </c>
      <c r="F32">
        <f t="shared" si="1"/>
        <v>2.668615</v>
      </c>
      <c r="G32">
        <f t="shared" si="2"/>
        <v>114.075</v>
      </c>
      <c r="H32">
        <f t="shared" si="3"/>
        <v>2.3694850000000001</v>
      </c>
    </row>
    <row r="33" spans="1:8">
      <c r="A33">
        <v>2030</v>
      </c>
      <c r="B33">
        <v>119.26</v>
      </c>
      <c r="C33">
        <v>1.5</v>
      </c>
      <c r="E33">
        <f t="shared" si="0"/>
        <v>131.18600000000001</v>
      </c>
      <c r="F33">
        <f t="shared" si="1"/>
        <v>2.5713948000000002</v>
      </c>
      <c r="G33">
        <f t="shared" si="2"/>
        <v>107.334</v>
      </c>
      <c r="H33">
        <f t="shared" si="3"/>
        <v>2.2899412000000003</v>
      </c>
    </row>
    <row r="34" spans="1:8">
      <c r="A34">
        <v>2031</v>
      </c>
      <c r="B34">
        <v>111.71</v>
      </c>
      <c r="C34">
        <v>1.52</v>
      </c>
      <c r="E34">
        <f t="shared" si="0"/>
        <v>122.881</v>
      </c>
      <c r="F34">
        <f t="shared" si="1"/>
        <v>2.4733958</v>
      </c>
      <c r="G34">
        <f t="shared" si="2"/>
        <v>100.539</v>
      </c>
      <c r="H34">
        <f t="shared" si="3"/>
        <v>2.2097601999999998</v>
      </c>
    </row>
    <row r="35" spans="1:8">
      <c r="A35">
        <v>2032</v>
      </c>
      <c r="B35">
        <v>104.07</v>
      </c>
      <c r="C35">
        <v>1.54</v>
      </c>
      <c r="E35">
        <f t="shared" ref="E35:E66" si="4">B35*1.1</f>
        <v>114.477</v>
      </c>
      <c r="F35">
        <f t="shared" si="1"/>
        <v>2.3742286000000004</v>
      </c>
      <c r="G35">
        <f t="shared" si="2"/>
        <v>93.662999999999997</v>
      </c>
      <c r="H35">
        <f t="shared" si="3"/>
        <v>2.1286233999999999</v>
      </c>
    </row>
    <row r="36" spans="1:8">
      <c r="A36">
        <v>2033</v>
      </c>
      <c r="B36">
        <v>96.41</v>
      </c>
      <c r="C36">
        <v>1.56</v>
      </c>
      <c r="E36">
        <f t="shared" si="4"/>
        <v>106.051</v>
      </c>
      <c r="F36">
        <f t="shared" si="1"/>
        <v>2.2748018000000001</v>
      </c>
      <c r="G36">
        <f t="shared" si="2"/>
        <v>86.769000000000005</v>
      </c>
      <c r="H36">
        <f t="shared" si="3"/>
        <v>2.0472742000000004</v>
      </c>
    </row>
    <row r="37" spans="1:8">
      <c r="A37">
        <v>2034</v>
      </c>
      <c r="B37">
        <v>88.86</v>
      </c>
      <c r="C37">
        <v>1.59</v>
      </c>
      <c r="E37">
        <f t="shared" si="4"/>
        <v>97.746000000000009</v>
      </c>
      <c r="F37">
        <f t="shared" si="1"/>
        <v>2.1768027999999999</v>
      </c>
      <c r="G37">
        <f t="shared" si="2"/>
        <v>79.974000000000004</v>
      </c>
      <c r="H37">
        <f t="shared" si="3"/>
        <v>1.9670932000000001</v>
      </c>
    </row>
    <row r="38" spans="1:8">
      <c r="A38">
        <v>2035</v>
      </c>
      <c r="B38">
        <v>81.56</v>
      </c>
      <c r="C38">
        <v>1.61</v>
      </c>
      <c r="E38">
        <f t="shared" si="4"/>
        <v>89.716000000000008</v>
      </c>
      <c r="F38">
        <f t="shared" si="1"/>
        <v>2.0820487999999999</v>
      </c>
      <c r="G38">
        <f t="shared" si="2"/>
        <v>73.404000000000011</v>
      </c>
      <c r="H38">
        <f t="shared" si="3"/>
        <v>1.8895672000000001</v>
      </c>
    </row>
    <row r="39" spans="1:8">
      <c r="A39">
        <v>2036</v>
      </c>
      <c r="B39">
        <v>75.39</v>
      </c>
      <c r="C39">
        <v>1.63</v>
      </c>
      <c r="E39">
        <f t="shared" si="4"/>
        <v>82.929000000000002</v>
      </c>
      <c r="F39">
        <f t="shared" si="1"/>
        <v>2.0019622000000004</v>
      </c>
      <c r="G39">
        <f t="shared" si="2"/>
        <v>67.850999999999999</v>
      </c>
      <c r="H39">
        <f t="shared" si="3"/>
        <v>1.8240418</v>
      </c>
    </row>
    <row r="40" spans="1:8">
      <c r="A40">
        <v>2037</v>
      </c>
      <c r="B40">
        <v>70.25</v>
      </c>
      <c r="C40">
        <v>1.64</v>
      </c>
      <c r="E40">
        <f t="shared" si="4"/>
        <v>77.275000000000006</v>
      </c>
      <c r="F40">
        <f t="shared" si="1"/>
        <v>1.9352450000000001</v>
      </c>
      <c r="G40">
        <f t="shared" si="2"/>
        <v>63.225000000000001</v>
      </c>
      <c r="H40">
        <f t="shared" si="3"/>
        <v>1.7694550000000002</v>
      </c>
    </row>
    <row r="41" spans="1:8">
      <c r="A41">
        <v>2038</v>
      </c>
      <c r="B41">
        <v>65.8</v>
      </c>
      <c r="C41">
        <v>1.66</v>
      </c>
      <c r="E41">
        <f t="shared" si="4"/>
        <v>72.38000000000001</v>
      </c>
      <c r="F41">
        <f t="shared" si="1"/>
        <v>1.8774840000000002</v>
      </c>
      <c r="G41">
        <f t="shared" si="2"/>
        <v>59.22</v>
      </c>
      <c r="H41">
        <f t="shared" si="3"/>
        <v>1.7221960000000001</v>
      </c>
    </row>
    <row r="42" spans="1:8">
      <c r="A42">
        <v>2039</v>
      </c>
      <c r="B42">
        <v>62.12</v>
      </c>
      <c r="C42">
        <v>1.68</v>
      </c>
      <c r="E42">
        <f t="shared" si="4"/>
        <v>68.332000000000008</v>
      </c>
      <c r="F42">
        <f t="shared" si="1"/>
        <v>1.8297176000000002</v>
      </c>
      <c r="G42">
        <f t="shared" si="2"/>
        <v>55.908000000000001</v>
      </c>
      <c r="H42">
        <f t="shared" si="3"/>
        <v>1.6831144</v>
      </c>
    </row>
    <row r="43" spans="1:8">
      <c r="A43">
        <v>2040</v>
      </c>
      <c r="B43">
        <v>59.48</v>
      </c>
      <c r="C43">
        <v>1.69</v>
      </c>
      <c r="E43">
        <f t="shared" si="4"/>
        <v>65.427999999999997</v>
      </c>
      <c r="F43">
        <f t="shared" si="1"/>
        <v>1.7954504</v>
      </c>
      <c r="G43">
        <f t="shared" si="2"/>
        <v>53.531999999999996</v>
      </c>
      <c r="H43">
        <f t="shared" si="3"/>
        <v>1.6550776</v>
      </c>
    </row>
    <row r="44" spans="1:8">
      <c r="A44">
        <v>2041</v>
      </c>
      <c r="B44">
        <v>57.75</v>
      </c>
      <c r="C44">
        <v>1.7</v>
      </c>
      <c r="E44">
        <f t="shared" si="4"/>
        <v>63.525000000000006</v>
      </c>
      <c r="F44">
        <f t="shared" si="1"/>
        <v>1.7729950000000001</v>
      </c>
      <c r="G44">
        <f t="shared" si="2"/>
        <v>51.975000000000001</v>
      </c>
      <c r="H44">
        <f t="shared" si="3"/>
        <v>1.6367050000000001</v>
      </c>
    </row>
    <row r="45" spans="1:8">
      <c r="A45">
        <v>2042</v>
      </c>
      <c r="B45">
        <v>56.78</v>
      </c>
      <c r="C45">
        <v>1.72</v>
      </c>
      <c r="E45">
        <f t="shared" si="4"/>
        <v>62.458000000000006</v>
      </c>
      <c r="F45">
        <f t="shared" si="1"/>
        <v>1.7604044000000001</v>
      </c>
      <c r="G45">
        <f t="shared" si="2"/>
        <v>51.102000000000004</v>
      </c>
      <c r="H45">
        <f t="shared" si="3"/>
        <v>1.6264036000000002</v>
      </c>
    </row>
    <row r="46" spans="1:8">
      <c r="A46">
        <v>2043</v>
      </c>
      <c r="B46">
        <v>56.33</v>
      </c>
      <c r="C46">
        <v>1.73</v>
      </c>
      <c r="E46">
        <f t="shared" si="4"/>
        <v>61.963000000000001</v>
      </c>
      <c r="F46">
        <f t="shared" si="1"/>
        <v>1.7545634000000001</v>
      </c>
      <c r="G46">
        <f t="shared" si="2"/>
        <v>50.697000000000003</v>
      </c>
      <c r="H46">
        <f t="shared" si="3"/>
        <v>1.6216246000000001</v>
      </c>
    </row>
    <row r="47" spans="1:8">
      <c r="A47">
        <v>2044</v>
      </c>
      <c r="B47">
        <v>55.88</v>
      </c>
      <c r="C47">
        <v>1.74</v>
      </c>
      <c r="E47">
        <f t="shared" si="4"/>
        <v>61.468000000000011</v>
      </c>
      <c r="F47">
        <f t="shared" si="1"/>
        <v>1.7487224000000001</v>
      </c>
      <c r="G47">
        <f t="shared" si="2"/>
        <v>50.292000000000002</v>
      </c>
      <c r="H47">
        <f t="shared" si="3"/>
        <v>1.6168456</v>
      </c>
    </row>
    <row r="48" spans="1:8">
      <c r="A48">
        <v>2045</v>
      </c>
      <c r="B48">
        <v>55.01</v>
      </c>
      <c r="C48">
        <v>1.75</v>
      </c>
      <c r="E48">
        <f t="shared" si="4"/>
        <v>60.511000000000003</v>
      </c>
      <c r="F48">
        <f t="shared" si="1"/>
        <v>1.7374298000000001</v>
      </c>
      <c r="G48">
        <f t="shared" si="2"/>
        <v>49.509</v>
      </c>
      <c r="H48">
        <f t="shared" si="3"/>
        <v>1.6076062000000002</v>
      </c>
    </row>
    <row r="49" spans="1:8">
      <c r="A49">
        <v>2046</v>
      </c>
      <c r="B49">
        <v>53.7</v>
      </c>
      <c r="C49">
        <v>1.76</v>
      </c>
      <c r="E49">
        <f t="shared" si="4"/>
        <v>59.070000000000007</v>
      </c>
      <c r="F49">
        <f t="shared" si="1"/>
        <v>1.7204260000000002</v>
      </c>
      <c r="G49">
        <f t="shared" si="2"/>
        <v>48.330000000000005</v>
      </c>
      <c r="H49">
        <f t="shared" si="3"/>
        <v>1.5936940000000002</v>
      </c>
    </row>
    <row r="50" spans="1:8">
      <c r="A50">
        <v>2047</v>
      </c>
      <c r="B50">
        <v>52.2</v>
      </c>
      <c r="C50">
        <v>1.77</v>
      </c>
      <c r="E50">
        <f t="shared" si="4"/>
        <v>57.420000000000009</v>
      </c>
      <c r="F50">
        <f t="shared" si="1"/>
        <v>1.7009560000000001</v>
      </c>
      <c r="G50">
        <f t="shared" si="2"/>
        <v>46.980000000000004</v>
      </c>
      <c r="H50">
        <f t="shared" si="3"/>
        <v>1.5777640000000002</v>
      </c>
    </row>
    <row r="51" spans="1:8">
      <c r="A51">
        <v>2048</v>
      </c>
      <c r="B51">
        <v>50.81</v>
      </c>
      <c r="C51">
        <v>1.78</v>
      </c>
      <c r="E51">
        <f t="shared" si="4"/>
        <v>55.891000000000005</v>
      </c>
      <c r="F51">
        <f t="shared" si="1"/>
        <v>1.6829138000000001</v>
      </c>
      <c r="G51">
        <f t="shared" si="2"/>
        <v>45.729000000000006</v>
      </c>
      <c r="H51">
        <f t="shared" si="3"/>
        <v>1.5630022000000001</v>
      </c>
    </row>
    <row r="52" spans="1:8">
      <c r="A52">
        <v>2049</v>
      </c>
      <c r="B52">
        <v>49.69</v>
      </c>
      <c r="C52">
        <v>1.79</v>
      </c>
      <c r="E52">
        <f t="shared" si="4"/>
        <v>54.658999999999999</v>
      </c>
      <c r="F52">
        <f t="shared" si="1"/>
        <v>1.6683762</v>
      </c>
      <c r="G52">
        <f t="shared" si="2"/>
        <v>44.720999999999997</v>
      </c>
      <c r="H52">
        <f t="shared" si="3"/>
        <v>1.5511078</v>
      </c>
    </row>
    <row r="53" spans="1:8">
      <c r="A53">
        <v>2050</v>
      </c>
      <c r="B53">
        <v>48.86</v>
      </c>
      <c r="C53">
        <v>1.8</v>
      </c>
      <c r="E53">
        <f t="shared" si="4"/>
        <v>53.746000000000002</v>
      </c>
      <c r="F53">
        <f t="shared" si="1"/>
        <v>1.6576028000000003</v>
      </c>
      <c r="G53">
        <f t="shared" si="2"/>
        <v>43.974000000000004</v>
      </c>
      <c r="H53">
        <f t="shared" si="3"/>
        <v>1.5422932</v>
      </c>
    </row>
    <row r="54" spans="1:8">
      <c r="A54">
        <v>2051</v>
      </c>
      <c r="B54">
        <v>48.24</v>
      </c>
      <c r="C54">
        <v>1.81</v>
      </c>
      <c r="E54">
        <f t="shared" si="4"/>
        <v>53.064000000000007</v>
      </c>
      <c r="F54">
        <f t="shared" si="1"/>
        <v>1.6495552</v>
      </c>
      <c r="G54">
        <f t="shared" si="2"/>
        <v>43.416000000000004</v>
      </c>
      <c r="H54">
        <f t="shared" si="3"/>
        <v>1.5357088000000001</v>
      </c>
    </row>
    <row r="55" spans="1:8">
      <c r="A55">
        <v>2052</v>
      </c>
      <c r="B55">
        <v>47.71</v>
      </c>
      <c r="C55">
        <v>1.81</v>
      </c>
      <c r="E55">
        <f t="shared" si="4"/>
        <v>52.481000000000002</v>
      </c>
      <c r="F55">
        <f t="shared" si="1"/>
        <v>1.6426758000000001</v>
      </c>
      <c r="G55">
        <f t="shared" si="2"/>
        <v>42.939</v>
      </c>
      <c r="H55">
        <f t="shared" si="3"/>
        <v>1.5300802</v>
      </c>
    </row>
    <row r="56" spans="1:8">
      <c r="A56">
        <v>2053</v>
      </c>
      <c r="B56">
        <v>47.19</v>
      </c>
      <c r="C56">
        <v>1.82</v>
      </c>
      <c r="E56">
        <f t="shared" si="4"/>
        <v>51.908999999999999</v>
      </c>
      <c r="F56">
        <f t="shared" si="1"/>
        <v>1.6359262000000001</v>
      </c>
      <c r="G56">
        <f t="shared" si="2"/>
        <v>42.470999999999997</v>
      </c>
      <c r="H56">
        <f t="shared" si="3"/>
        <v>1.5245578000000002</v>
      </c>
    </row>
    <row r="57" spans="1:8">
      <c r="A57">
        <v>2054</v>
      </c>
      <c r="B57">
        <v>46.63</v>
      </c>
      <c r="C57">
        <v>1.82</v>
      </c>
      <c r="E57">
        <f t="shared" si="4"/>
        <v>51.293000000000006</v>
      </c>
      <c r="F57">
        <f t="shared" si="1"/>
        <v>1.6286574000000003</v>
      </c>
      <c r="G57">
        <f t="shared" si="2"/>
        <v>41.967000000000006</v>
      </c>
      <c r="H57">
        <f t="shared" si="3"/>
        <v>1.5186106000000001</v>
      </c>
    </row>
    <row r="58" spans="1:8">
      <c r="A58">
        <v>2055</v>
      </c>
      <c r="B58">
        <v>46</v>
      </c>
      <c r="C58">
        <v>1.83</v>
      </c>
      <c r="E58">
        <f t="shared" si="4"/>
        <v>50.6</v>
      </c>
      <c r="F58">
        <f t="shared" si="1"/>
        <v>1.6204800000000001</v>
      </c>
      <c r="G58">
        <f t="shared" si="2"/>
        <v>41.4</v>
      </c>
      <c r="H58">
        <f t="shared" si="3"/>
        <v>1.5119199999999999</v>
      </c>
    </row>
    <row r="59" spans="1:8">
      <c r="A59">
        <v>2056</v>
      </c>
      <c r="B59">
        <v>45.32</v>
      </c>
      <c r="C59">
        <v>1.84</v>
      </c>
      <c r="E59">
        <f t="shared" si="4"/>
        <v>49.852000000000004</v>
      </c>
      <c r="F59">
        <f t="shared" si="1"/>
        <v>1.6116536000000001</v>
      </c>
      <c r="G59">
        <f t="shared" si="2"/>
        <v>40.788000000000004</v>
      </c>
      <c r="H59">
        <f t="shared" si="3"/>
        <v>1.5046984000000001</v>
      </c>
    </row>
    <row r="60" spans="1:8">
      <c r="A60">
        <v>2057</v>
      </c>
      <c r="B60">
        <v>44.61</v>
      </c>
      <c r="C60">
        <v>1.84</v>
      </c>
      <c r="E60">
        <f t="shared" si="4"/>
        <v>49.071000000000005</v>
      </c>
      <c r="F60">
        <f t="shared" si="1"/>
        <v>1.6024378000000001</v>
      </c>
      <c r="G60">
        <f t="shared" si="2"/>
        <v>40.149000000000001</v>
      </c>
      <c r="H60">
        <f t="shared" si="3"/>
        <v>1.4971582000000001</v>
      </c>
    </row>
    <row r="61" spans="1:8">
      <c r="A61">
        <v>2058</v>
      </c>
      <c r="B61">
        <v>43.9</v>
      </c>
      <c r="C61">
        <v>1.85</v>
      </c>
      <c r="E61">
        <f t="shared" si="4"/>
        <v>48.29</v>
      </c>
      <c r="F61">
        <f t="shared" si="1"/>
        <v>1.5932219999999999</v>
      </c>
      <c r="G61">
        <f t="shared" si="2"/>
        <v>39.51</v>
      </c>
      <c r="H61">
        <f t="shared" si="3"/>
        <v>1.4896180000000001</v>
      </c>
    </row>
    <row r="62" spans="1:8">
      <c r="A62">
        <v>2059</v>
      </c>
      <c r="B62">
        <v>43.2</v>
      </c>
      <c r="C62">
        <v>1.85</v>
      </c>
      <c r="E62">
        <f t="shared" si="4"/>
        <v>47.52000000000001</v>
      </c>
      <c r="F62">
        <f t="shared" si="1"/>
        <v>1.5841360000000002</v>
      </c>
      <c r="G62">
        <f t="shared" si="2"/>
        <v>38.880000000000003</v>
      </c>
      <c r="H62">
        <f t="shared" si="3"/>
        <v>1.4821840000000002</v>
      </c>
    </row>
    <row r="63" spans="1:8">
      <c r="A63">
        <v>2060</v>
      </c>
      <c r="B63">
        <v>42.51</v>
      </c>
      <c r="C63">
        <v>1.85</v>
      </c>
      <c r="E63">
        <f t="shared" si="4"/>
        <v>46.761000000000003</v>
      </c>
      <c r="F63">
        <f t="shared" si="1"/>
        <v>1.5751798000000001</v>
      </c>
      <c r="G63">
        <f t="shared" si="2"/>
        <v>38.259</v>
      </c>
      <c r="H63">
        <f t="shared" si="3"/>
        <v>1.4748562000000001</v>
      </c>
    </row>
    <row r="64" spans="1:8">
      <c r="A64">
        <v>2061</v>
      </c>
      <c r="B64">
        <v>41.84</v>
      </c>
      <c r="C64">
        <v>1.86</v>
      </c>
      <c r="E64">
        <f t="shared" si="4"/>
        <v>46.024000000000008</v>
      </c>
      <c r="F64">
        <f t="shared" si="1"/>
        <v>1.5664832000000002</v>
      </c>
      <c r="G64">
        <f t="shared" si="2"/>
        <v>37.656000000000006</v>
      </c>
      <c r="H64">
        <f t="shared" si="3"/>
        <v>1.4677408000000001</v>
      </c>
    </row>
    <row r="65" spans="1:8">
      <c r="A65">
        <v>2062</v>
      </c>
      <c r="B65">
        <v>41.17</v>
      </c>
      <c r="C65">
        <v>1.86</v>
      </c>
      <c r="E65">
        <f t="shared" si="4"/>
        <v>45.287000000000006</v>
      </c>
      <c r="F65">
        <f t="shared" si="1"/>
        <v>1.5577866</v>
      </c>
      <c r="G65">
        <f t="shared" si="2"/>
        <v>37.053000000000004</v>
      </c>
      <c r="H65">
        <f t="shared" si="3"/>
        <v>1.4606254000000001</v>
      </c>
    </row>
    <row r="66" spans="1:8">
      <c r="A66">
        <v>2063</v>
      </c>
      <c r="B66">
        <v>40.520000000000003</v>
      </c>
      <c r="C66">
        <v>1.87</v>
      </c>
      <c r="E66">
        <f t="shared" si="4"/>
        <v>44.57200000000001</v>
      </c>
      <c r="F66">
        <f t="shared" si="1"/>
        <v>1.5493496000000002</v>
      </c>
      <c r="G66">
        <f t="shared" si="2"/>
        <v>36.468000000000004</v>
      </c>
      <c r="H66">
        <f t="shared" si="3"/>
        <v>1.4537224000000002</v>
      </c>
    </row>
    <row r="67" spans="1:8">
      <c r="A67">
        <v>2064</v>
      </c>
      <c r="B67">
        <v>39.89</v>
      </c>
      <c r="C67">
        <v>1.87</v>
      </c>
      <c r="E67">
        <f t="shared" ref="E67:E103" si="5">B67*1.1</f>
        <v>43.879000000000005</v>
      </c>
      <c r="F67">
        <f t="shared" si="1"/>
        <v>1.5411722000000001</v>
      </c>
      <c r="G67">
        <f t="shared" si="2"/>
        <v>35.901000000000003</v>
      </c>
      <c r="H67">
        <f t="shared" si="3"/>
        <v>1.4470318</v>
      </c>
    </row>
    <row r="68" spans="1:8">
      <c r="A68">
        <v>2065</v>
      </c>
      <c r="B68">
        <v>39.299999999999997</v>
      </c>
      <c r="C68">
        <v>1.88</v>
      </c>
      <c r="E68">
        <f t="shared" si="5"/>
        <v>43.23</v>
      </c>
      <c r="F68">
        <f t="shared" ref="F68:F103" si="6" xml:space="preserve"> 0.0118*E68 + 1.0234</f>
        <v>1.533514</v>
      </c>
      <c r="G68">
        <f t="shared" ref="G68:G103" si="7">B68*0.9</f>
        <v>35.369999999999997</v>
      </c>
      <c r="H68">
        <f t="shared" ref="H68:H103" si="8" xml:space="preserve"> 0.0118*G68 + 1.0234</f>
        <v>1.440766</v>
      </c>
    </row>
    <row r="69" spans="1:8">
      <c r="A69">
        <v>2066</v>
      </c>
      <c r="B69">
        <v>38.75</v>
      </c>
      <c r="C69">
        <v>1.88</v>
      </c>
      <c r="E69">
        <f t="shared" si="5"/>
        <v>42.625</v>
      </c>
      <c r="F69">
        <f t="shared" si="6"/>
        <v>1.526375</v>
      </c>
      <c r="G69">
        <f t="shared" si="7"/>
        <v>34.875</v>
      </c>
      <c r="H69">
        <f t="shared" si="8"/>
        <v>1.434925</v>
      </c>
    </row>
    <row r="70" spans="1:8">
      <c r="A70">
        <v>2067</v>
      </c>
      <c r="B70">
        <v>38.24</v>
      </c>
      <c r="C70">
        <v>1.88</v>
      </c>
      <c r="E70">
        <f t="shared" si="5"/>
        <v>42.064000000000007</v>
      </c>
      <c r="F70">
        <f t="shared" si="6"/>
        <v>1.5197552000000001</v>
      </c>
      <c r="G70">
        <f t="shared" si="7"/>
        <v>34.416000000000004</v>
      </c>
      <c r="H70">
        <f t="shared" si="8"/>
        <v>1.4295088000000002</v>
      </c>
    </row>
    <row r="71" spans="1:8">
      <c r="A71">
        <v>2068</v>
      </c>
      <c r="B71">
        <v>37.76</v>
      </c>
      <c r="C71">
        <v>1.89</v>
      </c>
      <c r="E71">
        <f t="shared" si="5"/>
        <v>41.536000000000001</v>
      </c>
      <c r="F71">
        <f t="shared" si="6"/>
        <v>1.5135248000000001</v>
      </c>
      <c r="G71">
        <f t="shared" si="7"/>
        <v>33.984000000000002</v>
      </c>
      <c r="H71">
        <f t="shared" si="8"/>
        <v>1.4244112000000002</v>
      </c>
    </row>
    <row r="72" spans="1:8">
      <c r="A72">
        <v>2069</v>
      </c>
      <c r="B72">
        <v>37.32</v>
      </c>
      <c r="C72">
        <v>1.89</v>
      </c>
      <c r="E72">
        <f t="shared" si="5"/>
        <v>41.052000000000007</v>
      </c>
      <c r="F72">
        <f t="shared" si="6"/>
        <v>1.5078136000000002</v>
      </c>
      <c r="G72">
        <f t="shared" si="7"/>
        <v>33.588000000000001</v>
      </c>
      <c r="H72">
        <f t="shared" si="8"/>
        <v>1.4197384</v>
      </c>
    </row>
    <row r="73" spans="1:8">
      <c r="A73">
        <v>2070</v>
      </c>
      <c r="B73">
        <v>36.9</v>
      </c>
      <c r="C73">
        <v>1.9</v>
      </c>
      <c r="E73">
        <f t="shared" si="5"/>
        <v>40.590000000000003</v>
      </c>
      <c r="F73">
        <f t="shared" si="6"/>
        <v>1.5023620000000002</v>
      </c>
      <c r="G73">
        <f t="shared" si="7"/>
        <v>33.21</v>
      </c>
      <c r="H73">
        <f t="shared" si="8"/>
        <v>1.415278</v>
      </c>
    </row>
    <row r="74" spans="1:8">
      <c r="A74">
        <v>2071</v>
      </c>
      <c r="B74">
        <v>36.49</v>
      </c>
      <c r="C74">
        <v>1.9</v>
      </c>
      <c r="E74">
        <f t="shared" si="5"/>
        <v>40.139000000000003</v>
      </c>
      <c r="F74">
        <f t="shared" si="6"/>
        <v>1.4970402</v>
      </c>
      <c r="G74">
        <f t="shared" si="7"/>
        <v>32.841000000000001</v>
      </c>
      <c r="H74">
        <f t="shared" si="8"/>
        <v>1.4109238000000002</v>
      </c>
    </row>
    <row r="75" spans="1:8">
      <c r="A75">
        <v>2072</v>
      </c>
      <c r="B75">
        <v>36.090000000000003</v>
      </c>
      <c r="C75">
        <v>1.9</v>
      </c>
      <c r="E75">
        <f t="shared" si="5"/>
        <v>39.699000000000005</v>
      </c>
      <c r="F75">
        <f t="shared" si="6"/>
        <v>1.4918482000000002</v>
      </c>
      <c r="G75">
        <f t="shared" si="7"/>
        <v>32.481000000000002</v>
      </c>
      <c r="H75">
        <f t="shared" si="8"/>
        <v>1.4066758000000001</v>
      </c>
    </row>
    <row r="76" spans="1:8">
      <c r="A76">
        <v>2073</v>
      </c>
      <c r="B76">
        <v>35.700000000000003</v>
      </c>
      <c r="C76">
        <v>1.91</v>
      </c>
      <c r="E76">
        <f t="shared" si="5"/>
        <v>39.270000000000003</v>
      </c>
      <c r="F76">
        <f t="shared" si="6"/>
        <v>1.4867860000000002</v>
      </c>
      <c r="G76">
        <f t="shared" si="7"/>
        <v>32.130000000000003</v>
      </c>
      <c r="H76">
        <f t="shared" si="8"/>
        <v>1.4025340000000002</v>
      </c>
    </row>
    <row r="77" spans="1:8">
      <c r="A77">
        <v>2074</v>
      </c>
      <c r="B77">
        <v>35.33</v>
      </c>
      <c r="C77">
        <v>1.91</v>
      </c>
      <c r="E77">
        <f t="shared" si="5"/>
        <v>38.863</v>
      </c>
      <c r="F77">
        <f t="shared" si="6"/>
        <v>1.4819834000000001</v>
      </c>
      <c r="G77">
        <f t="shared" si="7"/>
        <v>31.797000000000001</v>
      </c>
      <c r="H77">
        <f t="shared" si="8"/>
        <v>1.3986046000000001</v>
      </c>
    </row>
    <row r="78" spans="1:8">
      <c r="A78">
        <v>2075</v>
      </c>
      <c r="B78">
        <v>34.96</v>
      </c>
      <c r="C78">
        <v>1.91</v>
      </c>
      <c r="E78">
        <f t="shared" si="5"/>
        <v>38.456000000000003</v>
      </c>
      <c r="F78">
        <f t="shared" si="6"/>
        <v>1.4771808000000002</v>
      </c>
      <c r="G78">
        <f t="shared" si="7"/>
        <v>31.464000000000002</v>
      </c>
      <c r="H78">
        <f t="shared" si="8"/>
        <v>1.3946752</v>
      </c>
    </row>
    <row r="79" spans="1:8">
      <c r="A79">
        <v>2076</v>
      </c>
      <c r="B79">
        <v>34.619999999999997</v>
      </c>
      <c r="C79">
        <v>1.91</v>
      </c>
      <c r="E79">
        <f t="shared" si="5"/>
        <v>38.082000000000001</v>
      </c>
      <c r="F79">
        <f t="shared" si="6"/>
        <v>1.4727676000000001</v>
      </c>
      <c r="G79">
        <f t="shared" si="7"/>
        <v>31.157999999999998</v>
      </c>
      <c r="H79">
        <f t="shared" si="8"/>
        <v>1.3910644000000001</v>
      </c>
    </row>
    <row r="80" spans="1:8">
      <c r="A80">
        <v>2077</v>
      </c>
      <c r="B80">
        <v>34.29</v>
      </c>
      <c r="C80">
        <v>1.92</v>
      </c>
      <c r="E80">
        <f t="shared" si="5"/>
        <v>37.719000000000001</v>
      </c>
      <c r="F80">
        <f t="shared" si="6"/>
        <v>1.4684842</v>
      </c>
      <c r="G80">
        <f t="shared" si="7"/>
        <v>30.861000000000001</v>
      </c>
      <c r="H80">
        <f t="shared" si="8"/>
        <v>1.3875598</v>
      </c>
    </row>
    <row r="81" spans="1:8">
      <c r="A81">
        <v>2078</v>
      </c>
      <c r="B81">
        <v>33.979999999999997</v>
      </c>
      <c r="C81">
        <v>1.92</v>
      </c>
      <c r="E81">
        <f t="shared" si="5"/>
        <v>37.378</v>
      </c>
      <c r="F81">
        <f t="shared" si="6"/>
        <v>1.4644604000000001</v>
      </c>
      <c r="G81">
        <f t="shared" si="7"/>
        <v>30.581999999999997</v>
      </c>
      <c r="H81">
        <f t="shared" si="8"/>
        <v>1.3842676</v>
      </c>
    </row>
    <row r="82" spans="1:8">
      <c r="A82">
        <v>2079</v>
      </c>
      <c r="B82">
        <v>33.700000000000003</v>
      </c>
      <c r="C82">
        <v>1.93</v>
      </c>
      <c r="E82">
        <f t="shared" si="5"/>
        <v>37.070000000000007</v>
      </c>
      <c r="F82">
        <f t="shared" si="6"/>
        <v>1.4608260000000002</v>
      </c>
      <c r="G82">
        <f t="shared" si="7"/>
        <v>30.330000000000002</v>
      </c>
      <c r="H82">
        <f t="shared" si="8"/>
        <v>1.381294</v>
      </c>
    </row>
    <row r="83" spans="1:8">
      <c r="A83">
        <v>2080</v>
      </c>
      <c r="B83">
        <v>33.44</v>
      </c>
      <c r="C83">
        <v>1.93</v>
      </c>
      <c r="E83">
        <f t="shared" si="5"/>
        <v>36.783999999999999</v>
      </c>
      <c r="F83">
        <f t="shared" si="6"/>
        <v>1.4574511999999999</v>
      </c>
      <c r="G83">
        <f t="shared" si="7"/>
        <v>30.096</v>
      </c>
      <c r="H83">
        <f t="shared" si="8"/>
        <v>1.3785328000000001</v>
      </c>
    </row>
    <row r="84" spans="1:8">
      <c r="A84">
        <v>2081</v>
      </c>
      <c r="B84">
        <v>33.21</v>
      </c>
      <c r="C84">
        <v>1.94</v>
      </c>
      <c r="E84">
        <f t="shared" si="5"/>
        <v>36.531000000000006</v>
      </c>
      <c r="F84">
        <f t="shared" si="6"/>
        <v>1.4544658000000001</v>
      </c>
      <c r="G84">
        <f t="shared" si="7"/>
        <v>29.889000000000003</v>
      </c>
      <c r="H84">
        <f t="shared" si="8"/>
        <v>1.3760902000000002</v>
      </c>
    </row>
    <row r="85" spans="1:8">
      <c r="A85">
        <v>2082</v>
      </c>
      <c r="B85">
        <v>33.01</v>
      </c>
      <c r="C85">
        <v>1.94</v>
      </c>
      <c r="E85">
        <f t="shared" si="5"/>
        <v>36.311</v>
      </c>
      <c r="F85">
        <f t="shared" si="6"/>
        <v>1.4518698000000001</v>
      </c>
      <c r="G85">
        <f t="shared" si="7"/>
        <v>29.709</v>
      </c>
      <c r="H85">
        <f t="shared" si="8"/>
        <v>1.3739662000000001</v>
      </c>
    </row>
    <row r="86" spans="1:8">
      <c r="A86">
        <v>2083</v>
      </c>
      <c r="B86">
        <v>32.82</v>
      </c>
      <c r="C86">
        <v>1.94</v>
      </c>
      <c r="E86">
        <f t="shared" si="5"/>
        <v>36.102000000000004</v>
      </c>
      <c r="F86">
        <f t="shared" si="6"/>
        <v>1.4494036000000001</v>
      </c>
      <c r="G86">
        <f t="shared" si="7"/>
        <v>29.538</v>
      </c>
      <c r="H86">
        <f t="shared" si="8"/>
        <v>1.3719484</v>
      </c>
    </row>
    <row r="87" spans="1:8">
      <c r="A87">
        <v>2084</v>
      </c>
      <c r="B87">
        <v>32.659999999999997</v>
      </c>
      <c r="C87">
        <v>1.95</v>
      </c>
      <c r="E87">
        <f t="shared" si="5"/>
        <v>35.926000000000002</v>
      </c>
      <c r="F87">
        <f t="shared" si="6"/>
        <v>1.4473268000000001</v>
      </c>
      <c r="G87">
        <f t="shared" si="7"/>
        <v>29.393999999999998</v>
      </c>
      <c r="H87">
        <f t="shared" si="8"/>
        <v>1.3702491999999999</v>
      </c>
    </row>
    <row r="88" spans="1:8">
      <c r="A88">
        <v>2085</v>
      </c>
      <c r="B88">
        <v>32.520000000000003</v>
      </c>
      <c r="C88">
        <v>1.95</v>
      </c>
      <c r="E88">
        <f t="shared" si="5"/>
        <v>35.772000000000006</v>
      </c>
      <c r="F88">
        <f t="shared" si="6"/>
        <v>1.4455096000000001</v>
      </c>
      <c r="G88">
        <f t="shared" si="7"/>
        <v>29.268000000000004</v>
      </c>
      <c r="H88">
        <f t="shared" si="8"/>
        <v>1.3687624</v>
      </c>
    </row>
    <row r="89" spans="1:8">
      <c r="A89">
        <v>2086</v>
      </c>
      <c r="B89">
        <v>32.380000000000003</v>
      </c>
      <c r="C89">
        <v>1.95</v>
      </c>
      <c r="E89">
        <f t="shared" si="5"/>
        <v>35.618000000000009</v>
      </c>
      <c r="F89">
        <f t="shared" si="6"/>
        <v>1.4436924000000002</v>
      </c>
      <c r="G89">
        <f t="shared" si="7"/>
        <v>29.142000000000003</v>
      </c>
      <c r="H89">
        <f t="shared" si="8"/>
        <v>1.3672756000000001</v>
      </c>
    </row>
    <row r="90" spans="1:8">
      <c r="A90">
        <v>2087</v>
      </c>
      <c r="B90">
        <v>32.26</v>
      </c>
      <c r="C90">
        <v>1.96</v>
      </c>
      <c r="E90">
        <f t="shared" si="5"/>
        <v>35.486000000000004</v>
      </c>
      <c r="F90">
        <f t="shared" si="6"/>
        <v>1.4421348</v>
      </c>
      <c r="G90">
        <f t="shared" si="7"/>
        <v>29.033999999999999</v>
      </c>
      <c r="H90">
        <f t="shared" si="8"/>
        <v>1.3660012000000001</v>
      </c>
    </row>
    <row r="91" spans="1:8">
      <c r="A91">
        <v>2088</v>
      </c>
      <c r="B91">
        <v>32.15</v>
      </c>
      <c r="C91">
        <v>1.96</v>
      </c>
      <c r="E91">
        <f t="shared" si="5"/>
        <v>35.365000000000002</v>
      </c>
      <c r="F91">
        <f t="shared" si="6"/>
        <v>1.4407070000000002</v>
      </c>
      <c r="G91">
        <f t="shared" si="7"/>
        <v>28.934999999999999</v>
      </c>
      <c r="H91">
        <f t="shared" si="8"/>
        <v>1.364833</v>
      </c>
    </row>
    <row r="92" spans="1:8">
      <c r="A92">
        <v>2089</v>
      </c>
      <c r="B92">
        <v>32.049999999999997</v>
      </c>
      <c r="C92">
        <v>1.96</v>
      </c>
      <c r="E92">
        <f t="shared" si="5"/>
        <v>35.255000000000003</v>
      </c>
      <c r="F92">
        <f t="shared" si="6"/>
        <v>1.4394090000000002</v>
      </c>
      <c r="G92">
        <f t="shared" si="7"/>
        <v>28.844999999999999</v>
      </c>
      <c r="H92">
        <f t="shared" si="8"/>
        <v>1.3637710000000001</v>
      </c>
    </row>
    <row r="93" spans="1:8">
      <c r="A93">
        <v>2090</v>
      </c>
      <c r="B93">
        <v>31.96</v>
      </c>
      <c r="C93">
        <v>1.97</v>
      </c>
      <c r="E93">
        <f t="shared" si="5"/>
        <v>35.156000000000006</v>
      </c>
      <c r="F93">
        <f t="shared" si="6"/>
        <v>1.4382408000000002</v>
      </c>
      <c r="G93">
        <f t="shared" si="7"/>
        <v>28.764000000000003</v>
      </c>
      <c r="H93">
        <f t="shared" si="8"/>
        <v>1.3628152</v>
      </c>
    </row>
    <row r="94" spans="1:8">
      <c r="A94">
        <v>2091</v>
      </c>
      <c r="B94">
        <v>31.88</v>
      </c>
      <c r="C94">
        <v>1.97</v>
      </c>
      <c r="E94">
        <f t="shared" si="5"/>
        <v>35.068000000000005</v>
      </c>
      <c r="F94">
        <f t="shared" si="6"/>
        <v>1.4372024000000001</v>
      </c>
      <c r="G94">
        <f t="shared" si="7"/>
        <v>28.692</v>
      </c>
      <c r="H94">
        <f t="shared" si="8"/>
        <v>1.3619656</v>
      </c>
    </row>
    <row r="95" spans="1:8">
      <c r="A95">
        <v>2092</v>
      </c>
      <c r="B95">
        <v>31.81</v>
      </c>
      <c r="C95">
        <v>1.98</v>
      </c>
      <c r="E95">
        <f t="shared" si="5"/>
        <v>34.991</v>
      </c>
      <c r="F95">
        <f t="shared" si="6"/>
        <v>1.4362938000000001</v>
      </c>
      <c r="G95">
        <f t="shared" si="7"/>
        <v>28.628999999999998</v>
      </c>
      <c r="H95">
        <f t="shared" si="8"/>
        <v>1.3612222</v>
      </c>
    </row>
    <row r="96" spans="1:8">
      <c r="A96">
        <v>2093</v>
      </c>
      <c r="B96">
        <v>31.75</v>
      </c>
      <c r="C96">
        <v>1.98</v>
      </c>
      <c r="E96">
        <f t="shared" si="5"/>
        <v>34.925000000000004</v>
      </c>
      <c r="F96">
        <f t="shared" si="6"/>
        <v>1.4355150000000001</v>
      </c>
      <c r="G96">
        <f t="shared" si="7"/>
        <v>28.574999999999999</v>
      </c>
      <c r="H96">
        <f t="shared" si="8"/>
        <v>1.3605849999999999</v>
      </c>
    </row>
    <row r="97" spans="1:8">
      <c r="A97">
        <v>2094</v>
      </c>
      <c r="B97">
        <v>31.7</v>
      </c>
      <c r="C97">
        <v>1.98</v>
      </c>
      <c r="E97">
        <f t="shared" si="5"/>
        <v>34.870000000000005</v>
      </c>
      <c r="F97">
        <f t="shared" si="6"/>
        <v>1.4348660000000002</v>
      </c>
      <c r="G97">
        <f t="shared" si="7"/>
        <v>28.53</v>
      </c>
      <c r="H97">
        <f t="shared" si="8"/>
        <v>1.3600540000000001</v>
      </c>
    </row>
    <row r="98" spans="1:8">
      <c r="A98">
        <v>2095</v>
      </c>
      <c r="B98">
        <v>31.66</v>
      </c>
      <c r="C98">
        <v>1.99</v>
      </c>
      <c r="E98">
        <f t="shared" si="5"/>
        <v>34.826000000000001</v>
      </c>
      <c r="F98">
        <f t="shared" si="6"/>
        <v>1.4343468000000001</v>
      </c>
      <c r="G98">
        <f t="shared" si="7"/>
        <v>28.494</v>
      </c>
      <c r="H98">
        <f t="shared" si="8"/>
        <v>1.3596292000000001</v>
      </c>
    </row>
    <row r="99" spans="1:8">
      <c r="A99">
        <v>2096</v>
      </c>
      <c r="B99">
        <v>31.63</v>
      </c>
      <c r="C99">
        <v>1.99</v>
      </c>
      <c r="E99">
        <f t="shared" si="5"/>
        <v>34.792999999999999</v>
      </c>
      <c r="F99">
        <f t="shared" si="6"/>
        <v>1.4339574000000002</v>
      </c>
      <c r="G99">
        <f t="shared" si="7"/>
        <v>28.466999999999999</v>
      </c>
      <c r="H99">
        <f t="shared" si="8"/>
        <v>1.3593106000000001</v>
      </c>
    </row>
    <row r="100" spans="1:8">
      <c r="A100">
        <v>2097</v>
      </c>
      <c r="B100">
        <v>31.6</v>
      </c>
      <c r="C100">
        <v>1.99</v>
      </c>
      <c r="E100">
        <f t="shared" si="5"/>
        <v>34.760000000000005</v>
      </c>
      <c r="F100">
        <f t="shared" si="6"/>
        <v>1.4335680000000002</v>
      </c>
      <c r="G100">
        <f t="shared" si="7"/>
        <v>28.44</v>
      </c>
      <c r="H100">
        <f t="shared" si="8"/>
        <v>1.3589920000000002</v>
      </c>
    </row>
    <row r="101" spans="1:8">
      <c r="A101">
        <v>2098</v>
      </c>
      <c r="B101">
        <v>31.59</v>
      </c>
      <c r="C101">
        <v>1.99</v>
      </c>
      <c r="E101">
        <f t="shared" si="5"/>
        <v>34.749000000000002</v>
      </c>
      <c r="F101">
        <f t="shared" si="6"/>
        <v>1.4334382000000001</v>
      </c>
      <c r="G101">
        <f t="shared" si="7"/>
        <v>28.431000000000001</v>
      </c>
      <c r="H101">
        <f t="shared" si="8"/>
        <v>1.3588858000000001</v>
      </c>
    </row>
    <row r="102" spans="1:8">
      <c r="A102">
        <v>2099</v>
      </c>
      <c r="B102">
        <v>31.58</v>
      </c>
      <c r="C102">
        <v>2</v>
      </c>
      <c r="E102">
        <f t="shared" si="5"/>
        <v>34.738</v>
      </c>
      <c r="F102">
        <f t="shared" si="6"/>
        <v>1.4333084</v>
      </c>
      <c r="G102">
        <f t="shared" si="7"/>
        <v>28.422000000000001</v>
      </c>
      <c r="H102">
        <f t="shared" si="8"/>
        <v>1.3587796000000001</v>
      </c>
    </row>
    <row r="103" spans="1:8">
      <c r="A103">
        <v>2100</v>
      </c>
      <c r="B103">
        <v>31.57</v>
      </c>
      <c r="C103">
        <v>2</v>
      </c>
      <c r="E103">
        <f t="shared" si="5"/>
        <v>34.727000000000004</v>
      </c>
      <c r="F103">
        <f t="shared" si="6"/>
        <v>1.4331786000000002</v>
      </c>
      <c r="G103">
        <f t="shared" si="7"/>
        <v>28.413</v>
      </c>
      <c r="H103">
        <f t="shared" si="8"/>
        <v>1.3586734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0792-C6E8-44B1-B55D-3BFD3034BA6E}">
  <dimension ref="A2:I103"/>
  <sheetViews>
    <sheetView tabSelected="1" zoomScale="55" zoomScaleNormal="55" workbookViewId="0">
      <selection activeCell="U11" sqref="U11"/>
    </sheetView>
  </sheetViews>
  <sheetFormatPr defaultRowHeight="14.4"/>
  <cols>
    <col min="5" max="5" width="12.88671875" customWidth="1"/>
    <col min="6" max="6" width="11" customWidth="1"/>
    <col min="7" max="7" width="9.44140625" customWidth="1"/>
    <col min="8" max="8" width="15.44140625" customWidth="1"/>
    <col min="9" max="9" width="22.33203125" customWidth="1"/>
  </cols>
  <sheetData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2000</v>
      </c>
      <c r="B3">
        <v>110.98</v>
      </c>
      <c r="C3">
        <v>147.74</v>
      </c>
      <c r="D3">
        <v>89.16</v>
      </c>
      <c r="E3">
        <v>10.59</v>
      </c>
      <c r="F3">
        <v>40.43</v>
      </c>
      <c r="G3">
        <v>6.87</v>
      </c>
      <c r="H3">
        <v>0.78</v>
      </c>
      <c r="I3">
        <v>0.78</v>
      </c>
    </row>
    <row r="4" spans="1:9">
      <c r="A4">
        <v>2001</v>
      </c>
      <c r="B4">
        <v>113.59</v>
      </c>
      <c r="C4">
        <v>150.27000000000001</v>
      </c>
      <c r="D4">
        <v>91.78</v>
      </c>
      <c r="E4">
        <v>11.12</v>
      </c>
      <c r="F4">
        <v>41.24</v>
      </c>
      <c r="G4">
        <v>6.93</v>
      </c>
      <c r="H4">
        <v>0.82</v>
      </c>
      <c r="I4">
        <v>0.82</v>
      </c>
    </row>
    <row r="5" spans="1:9">
      <c r="A5">
        <v>2002</v>
      </c>
      <c r="B5">
        <v>116.16</v>
      </c>
      <c r="C5">
        <v>152.08000000000001</v>
      </c>
      <c r="D5">
        <v>94.05</v>
      </c>
      <c r="E5">
        <v>11.71</v>
      </c>
      <c r="F5">
        <v>41.82</v>
      </c>
      <c r="G5">
        <v>7.07</v>
      </c>
      <c r="H5">
        <v>0.85</v>
      </c>
      <c r="I5">
        <v>0.85</v>
      </c>
    </row>
    <row r="6" spans="1:9">
      <c r="A6">
        <v>2003</v>
      </c>
      <c r="B6">
        <v>118.78</v>
      </c>
      <c r="C6">
        <v>153.63</v>
      </c>
      <c r="D6">
        <v>96.24</v>
      </c>
      <c r="E6">
        <v>12.33</v>
      </c>
      <c r="F6">
        <v>42.33</v>
      </c>
      <c r="G6">
        <v>7.26</v>
      </c>
      <c r="H6">
        <v>0.87</v>
      </c>
      <c r="I6">
        <v>0.87</v>
      </c>
    </row>
    <row r="7" spans="1:9">
      <c r="A7">
        <v>2004</v>
      </c>
      <c r="B7">
        <v>121.74</v>
      </c>
      <c r="C7">
        <v>155.58000000000001</v>
      </c>
      <c r="D7">
        <v>98.79</v>
      </c>
      <c r="E7">
        <v>12.97</v>
      </c>
      <c r="F7">
        <v>42.99</v>
      </c>
      <c r="G7">
        <v>7.51</v>
      </c>
      <c r="H7">
        <v>0.88</v>
      </c>
      <c r="I7">
        <v>0.88</v>
      </c>
    </row>
    <row r="8" spans="1:9">
      <c r="A8">
        <v>2005</v>
      </c>
      <c r="B8">
        <v>125.15</v>
      </c>
      <c r="C8">
        <v>158.18</v>
      </c>
      <c r="D8">
        <v>101.88</v>
      </c>
      <c r="E8">
        <v>13.62</v>
      </c>
      <c r="F8">
        <v>43.86</v>
      </c>
      <c r="G8">
        <v>7.8</v>
      </c>
      <c r="H8">
        <v>0.89</v>
      </c>
      <c r="I8">
        <v>0.89</v>
      </c>
    </row>
    <row r="9" spans="1:9">
      <c r="A9">
        <v>2006</v>
      </c>
      <c r="B9">
        <v>128.77000000000001</v>
      </c>
      <c r="C9">
        <v>161.04</v>
      </c>
      <c r="D9">
        <v>105.26</v>
      </c>
      <c r="E9">
        <v>14.27</v>
      </c>
      <c r="F9">
        <v>44.82</v>
      </c>
      <c r="G9">
        <v>8.11</v>
      </c>
      <c r="H9">
        <v>0.9</v>
      </c>
      <c r="I9">
        <v>0.9</v>
      </c>
    </row>
    <row r="10" spans="1:9">
      <c r="A10">
        <v>2007</v>
      </c>
      <c r="B10">
        <v>132.63999999999999</v>
      </c>
      <c r="C10">
        <v>164.28</v>
      </c>
      <c r="D10">
        <v>109.05</v>
      </c>
      <c r="E10">
        <v>14.97</v>
      </c>
      <c r="F10">
        <v>45.92</v>
      </c>
      <c r="G10">
        <v>8.4499999999999993</v>
      </c>
      <c r="H10">
        <v>0.9</v>
      </c>
      <c r="I10">
        <v>0.9</v>
      </c>
    </row>
    <row r="11" spans="1:9">
      <c r="A11">
        <v>2008</v>
      </c>
      <c r="B11">
        <v>136.46</v>
      </c>
      <c r="C11">
        <v>167.49</v>
      </c>
      <c r="D11">
        <v>112.86</v>
      </c>
      <c r="E11">
        <v>15.7</v>
      </c>
      <c r="F11">
        <v>47</v>
      </c>
      <c r="G11">
        <v>8.8000000000000007</v>
      </c>
      <c r="H11">
        <v>0.91</v>
      </c>
      <c r="I11">
        <v>0.91</v>
      </c>
    </row>
    <row r="12" spans="1:9">
      <c r="A12">
        <v>2009</v>
      </c>
      <c r="B12">
        <v>139.18</v>
      </c>
      <c r="C12">
        <v>169.36</v>
      </c>
      <c r="D12">
        <v>115.5</v>
      </c>
      <c r="E12">
        <v>16.43</v>
      </c>
      <c r="F12">
        <v>47.61</v>
      </c>
      <c r="G12">
        <v>9.16</v>
      </c>
      <c r="H12">
        <v>0.93</v>
      </c>
      <c r="I12">
        <v>0.93</v>
      </c>
    </row>
    <row r="13" spans="1:9">
      <c r="A13">
        <v>2010</v>
      </c>
      <c r="B13">
        <v>140.63999999999999</v>
      </c>
      <c r="C13">
        <v>170.01</v>
      </c>
      <c r="D13">
        <v>117.01</v>
      </c>
      <c r="E13">
        <v>17.079999999999998</v>
      </c>
      <c r="F13">
        <v>47.85</v>
      </c>
      <c r="G13">
        <v>9.51</v>
      </c>
      <c r="H13">
        <v>0.95</v>
      </c>
      <c r="I13">
        <v>0.95</v>
      </c>
    </row>
    <row r="14" spans="1:9">
      <c r="A14">
        <v>2011</v>
      </c>
      <c r="B14">
        <v>143.24</v>
      </c>
      <c r="C14">
        <v>172.22</v>
      </c>
      <c r="D14">
        <v>119.74</v>
      </c>
      <c r="E14">
        <v>17.760000000000002</v>
      </c>
      <c r="F14">
        <v>48.56</v>
      </c>
      <c r="G14">
        <v>9.84</v>
      </c>
      <c r="H14">
        <v>0.98</v>
      </c>
      <c r="I14">
        <v>0.98</v>
      </c>
    </row>
    <row r="15" spans="1:9">
      <c r="A15">
        <v>2012</v>
      </c>
      <c r="B15">
        <v>145.96</v>
      </c>
      <c r="C15">
        <v>174.73</v>
      </c>
      <c r="D15">
        <v>122.63</v>
      </c>
      <c r="E15">
        <v>18.43</v>
      </c>
      <c r="F15">
        <v>49.34</v>
      </c>
      <c r="G15">
        <v>10.119999999999999</v>
      </c>
      <c r="H15">
        <v>1.01</v>
      </c>
      <c r="I15">
        <v>1.01</v>
      </c>
    </row>
    <row r="16" spans="1:9">
      <c r="A16">
        <v>2013</v>
      </c>
      <c r="B16">
        <v>148.35</v>
      </c>
      <c r="C16">
        <v>177.03</v>
      </c>
      <c r="D16">
        <v>125.38</v>
      </c>
      <c r="E16">
        <v>19.100000000000001</v>
      </c>
      <c r="F16">
        <v>50.06</v>
      </c>
      <c r="G16">
        <v>10.36</v>
      </c>
      <c r="H16">
        <v>1.04</v>
      </c>
      <c r="I16">
        <v>1.04</v>
      </c>
    </row>
    <row r="17" spans="1:9">
      <c r="A17">
        <v>2014</v>
      </c>
      <c r="B17">
        <v>150.54</v>
      </c>
      <c r="C17">
        <v>179.26</v>
      </c>
      <c r="D17">
        <v>128.15</v>
      </c>
      <c r="E17">
        <v>19.809999999999999</v>
      </c>
      <c r="F17">
        <v>50.77</v>
      </c>
      <c r="G17">
        <v>10.54</v>
      </c>
      <c r="H17">
        <v>1.08</v>
      </c>
      <c r="I17">
        <v>1.08</v>
      </c>
    </row>
    <row r="18" spans="1:9">
      <c r="A18">
        <v>2015</v>
      </c>
      <c r="B18">
        <v>152.62</v>
      </c>
      <c r="C18">
        <v>181.56</v>
      </c>
      <c r="D18">
        <v>131.01</v>
      </c>
      <c r="E18">
        <v>20.62</v>
      </c>
      <c r="F18">
        <v>51.51</v>
      </c>
      <c r="G18">
        <v>10.68</v>
      </c>
      <c r="H18">
        <v>1.1100000000000001</v>
      </c>
      <c r="I18">
        <v>1.1100000000000001</v>
      </c>
    </row>
    <row r="19" spans="1:9">
      <c r="A19">
        <v>2016</v>
      </c>
      <c r="B19">
        <v>154.25</v>
      </c>
      <c r="C19">
        <v>183.79</v>
      </c>
      <c r="D19">
        <v>133.72999999999999</v>
      </c>
      <c r="E19">
        <v>21.55</v>
      </c>
      <c r="F19">
        <v>52.24</v>
      </c>
      <c r="G19">
        <v>10.77</v>
      </c>
      <c r="H19">
        <v>1.1499999999999999</v>
      </c>
      <c r="I19">
        <v>1.1499999999999999</v>
      </c>
    </row>
    <row r="20" spans="1:9">
      <c r="A20">
        <v>2017</v>
      </c>
      <c r="B20">
        <v>155.54</v>
      </c>
      <c r="C20">
        <v>186.06</v>
      </c>
      <c r="D20">
        <v>136.4</v>
      </c>
      <c r="E20">
        <v>22.66</v>
      </c>
      <c r="F20">
        <v>53</v>
      </c>
      <c r="G20">
        <v>10.83</v>
      </c>
      <c r="H20">
        <v>1.17</v>
      </c>
      <c r="I20">
        <v>1.17</v>
      </c>
    </row>
    <row r="21" spans="1:9">
      <c r="A21">
        <v>2018</v>
      </c>
      <c r="B21">
        <v>156.78</v>
      </c>
      <c r="C21">
        <v>188.56</v>
      </c>
      <c r="D21">
        <v>139.16999999999999</v>
      </c>
      <c r="E21">
        <v>23.96</v>
      </c>
      <c r="F21">
        <v>53.83</v>
      </c>
      <c r="G21">
        <v>10.85</v>
      </c>
      <c r="H21">
        <v>1.2</v>
      </c>
      <c r="I21">
        <v>1.2</v>
      </c>
    </row>
    <row r="22" spans="1:9">
      <c r="A22">
        <v>2019</v>
      </c>
      <c r="B22">
        <v>157.69</v>
      </c>
      <c r="C22">
        <v>190.94</v>
      </c>
      <c r="D22">
        <v>141.69</v>
      </c>
      <c r="E22">
        <v>25.49</v>
      </c>
      <c r="F22">
        <v>54.62</v>
      </c>
      <c r="G22">
        <v>10.87</v>
      </c>
      <c r="H22">
        <v>1.22</v>
      </c>
      <c r="I22">
        <v>1.22</v>
      </c>
    </row>
    <row r="23" spans="1:9">
      <c r="A23">
        <v>2020</v>
      </c>
      <c r="B23">
        <v>156.86000000000001</v>
      </c>
      <c r="C23">
        <v>191.7</v>
      </c>
      <c r="D23">
        <v>142.53</v>
      </c>
      <c r="E23">
        <v>27.17</v>
      </c>
      <c r="F23">
        <v>54.86</v>
      </c>
      <c r="G23">
        <v>10.87</v>
      </c>
      <c r="H23">
        <v>1.25</v>
      </c>
      <c r="I23">
        <v>1.25</v>
      </c>
    </row>
    <row r="24" spans="1:9">
      <c r="A24">
        <v>2021</v>
      </c>
      <c r="B24">
        <v>154.19999999999999</v>
      </c>
      <c r="C24">
        <v>190.68</v>
      </c>
      <c r="D24">
        <v>141.78</v>
      </c>
      <c r="E24">
        <v>28.89</v>
      </c>
      <c r="F24">
        <v>54.59</v>
      </c>
      <c r="G24">
        <v>10.85</v>
      </c>
      <c r="H24">
        <v>1.27</v>
      </c>
      <c r="I24">
        <v>1.27</v>
      </c>
    </row>
    <row r="25" spans="1:9">
      <c r="A25">
        <v>2022</v>
      </c>
      <c r="B25">
        <v>154.32</v>
      </c>
      <c r="C25">
        <v>192.52</v>
      </c>
      <c r="D25">
        <v>143.6</v>
      </c>
      <c r="E25">
        <v>30.77</v>
      </c>
      <c r="F25">
        <v>55.21</v>
      </c>
      <c r="G25">
        <v>10.83</v>
      </c>
      <c r="H25">
        <v>1.3</v>
      </c>
      <c r="I25">
        <v>1.3</v>
      </c>
    </row>
    <row r="26" spans="1:9">
      <c r="A26">
        <v>2023</v>
      </c>
      <c r="B26">
        <v>154.75</v>
      </c>
      <c r="C26">
        <v>194.43</v>
      </c>
      <c r="D26">
        <v>145.5</v>
      </c>
      <c r="E26">
        <v>32.67</v>
      </c>
      <c r="F26">
        <v>55.83</v>
      </c>
      <c r="G26">
        <v>10.8</v>
      </c>
      <c r="H26">
        <v>1.33</v>
      </c>
      <c r="I26">
        <v>1.33</v>
      </c>
    </row>
    <row r="27" spans="1:9">
      <c r="A27">
        <v>2024</v>
      </c>
      <c r="B27">
        <v>155.11000000000001</v>
      </c>
      <c r="C27">
        <v>196.15</v>
      </c>
      <c r="D27">
        <v>147.34</v>
      </c>
      <c r="E27">
        <v>34.659999999999997</v>
      </c>
      <c r="F27">
        <v>56.4</v>
      </c>
      <c r="G27">
        <v>10.75</v>
      </c>
      <c r="H27">
        <v>1.35</v>
      </c>
      <c r="I27">
        <v>1.35</v>
      </c>
    </row>
    <row r="28" spans="1:9">
      <c r="A28">
        <v>2025</v>
      </c>
      <c r="B28">
        <v>155</v>
      </c>
      <c r="C28">
        <v>197.45</v>
      </c>
      <c r="D28">
        <v>148.82</v>
      </c>
      <c r="E28">
        <v>36.79</v>
      </c>
      <c r="F28">
        <v>56.84</v>
      </c>
      <c r="G28">
        <v>10.71</v>
      </c>
      <c r="H28">
        <v>1.38</v>
      </c>
      <c r="I28">
        <v>1.38</v>
      </c>
    </row>
    <row r="29" spans="1:9">
      <c r="A29">
        <v>2026</v>
      </c>
      <c r="B29">
        <v>149.81</v>
      </c>
      <c r="C29">
        <v>195.88</v>
      </c>
      <c r="D29">
        <v>147.88999999999999</v>
      </c>
      <c r="E29">
        <v>39.17</v>
      </c>
      <c r="F29">
        <v>57.33</v>
      </c>
      <c r="G29">
        <v>10.67</v>
      </c>
      <c r="H29">
        <v>1.4</v>
      </c>
      <c r="I29">
        <v>1.4</v>
      </c>
    </row>
    <row r="30" spans="1:9">
      <c r="A30">
        <v>2027</v>
      </c>
      <c r="B30">
        <v>142.01</v>
      </c>
      <c r="C30">
        <v>193.05</v>
      </c>
      <c r="D30">
        <v>146.12</v>
      </c>
      <c r="E30">
        <v>42.06</v>
      </c>
      <c r="F30">
        <v>58.06</v>
      </c>
      <c r="G30">
        <v>10.64</v>
      </c>
      <c r="H30">
        <v>1.43</v>
      </c>
      <c r="I30">
        <v>1.43</v>
      </c>
    </row>
    <row r="31" spans="1:9">
      <c r="A31">
        <v>2028</v>
      </c>
      <c r="B31">
        <v>134.28</v>
      </c>
      <c r="C31">
        <v>190.06</v>
      </c>
      <c r="D31">
        <v>143.88</v>
      </c>
      <c r="E31">
        <v>45.59</v>
      </c>
      <c r="F31">
        <v>58.88</v>
      </c>
      <c r="G31">
        <v>10.65</v>
      </c>
      <c r="H31">
        <v>1.45</v>
      </c>
      <c r="I31">
        <v>1.45</v>
      </c>
    </row>
    <row r="32" spans="1:9">
      <c r="A32">
        <v>2029</v>
      </c>
      <c r="B32">
        <v>126.75</v>
      </c>
      <c r="C32">
        <v>186.78</v>
      </c>
      <c r="D32">
        <v>140.9</v>
      </c>
      <c r="E32">
        <v>49.88</v>
      </c>
      <c r="F32">
        <v>59.74</v>
      </c>
      <c r="G32">
        <v>10.72</v>
      </c>
      <c r="H32">
        <v>1.48</v>
      </c>
      <c r="I32">
        <v>1.48</v>
      </c>
    </row>
    <row r="33" spans="1:9">
      <c r="A33">
        <v>2030</v>
      </c>
      <c r="B33">
        <v>119.26</v>
      </c>
      <c r="C33">
        <v>183.12</v>
      </c>
      <c r="D33">
        <v>137.07</v>
      </c>
      <c r="E33">
        <v>55.13</v>
      </c>
      <c r="F33">
        <v>60.56</v>
      </c>
      <c r="G33">
        <v>10.87</v>
      </c>
      <c r="H33">
        <v>1.5</v>
      </c>
      <c r="I33">
        <v>1.5</v>
      </c>
    </row>
    <row r="34" spans="1:9">
      <c r="A34">
        <v>2031</v>
      </c>
      <c r="B34">
        <v>111.71</v>
      </c>
      <c r="C34">
        <v>179</v>
      </c>
      <c r="D34">
        <v>132.4</v>
      </c>
      <c r="E34">
        <v>61.46</v>
      </c>
      <c r="F34">
        <v>61.29</v>
      </c>
      <c r="G34">
        <v>11.09</v>
      </c>
      <c r="H34">
        <v>1.53</v>
      </c>
      <c r="I34">
        <v>1.52</v>
      </c>
    </row>
    <row r="35" spans="1:9">
      <c r="A35">
        <v>2032</v>
      </c>
      <c r="B35">
        <v>104.07</v>
      </c>
      <c r="C35">
        <v>174.37</v>
      </c>
      <c r="D35">
        <v>126.94</v>
      </c>
      <c r="E35">
        <v>68.98</v>
      </c>
      <c r="F35">
        <v>61.86</v>
      </c>
      <c r="G35">
        <v>11.37</v>
      </c>
      <c r="H35">
        <v>1.55</v>
      </c>
      <c r="I35">
        <v>1.54</v>
      </c>
    </row>
    <row r="36" spans="1:9">
      <c r="A36">
        <v>2033</v>
      </c>
      <c r="B36">
        <v>96.41</v>
      </c>
      <c r="C36">
        <v>169.21</v>
      </c>
      <c r="D36">
        <v>120.76</v>
      </c>
      <c r="E36">
        <v>77.790000000000006</v>
      </c>
      <c r="F36">
        <v>62.2</v>
      </c>
      <c r="G36">
        <v>11.68</v>
      </c>
      <c r="H36">
        <v>1.58</v>
      </c>
      <c r="I36">
        <v>1.56</v>
      </c>
    </row>
    <row r="37" spans="1:9">
      <c r="A37">
        <v>2034</v>
      </c>
      <c r="B37">
        <v>88.86</v>
      </c>
      <c r="C37">
        <v>163.57</v>
      </c>
      <c r="D37">
        <v>114.02</v>
      </c>
      <c r="E37">
        <v>87.93</v>
      </c>
      <c r="F37">
        <v>62.31</v>
      </c>
      <c r="G37">
        <v>11.98</v>
      </c>
      <c r="H37">
        <v>1.6</v>
      </c>
      <c r="I37">
        <v>1.59</v>
      </c>
    </row>
    <row r="38" spans="1:9">
      <c r="A38">
        <v>2035</v>
      </c>
      <c r="B38">
        <v>81.56</v>
      </c>
      <c r="C38">
        <v>157.54</v>
      </c>
      <c r="D38">
        <v>106.91</v>
      </c>
      <c r="E38">
        <v>99.38</v>
      </c>
      <c r="F38">
        <v>62.19</v>
      </c>
      <c r="G38">
        <v>12.24</v>
      </c>
      <c r="H38">
        <v>1.63</v>
      </c>
      <c r="I38">
        <v>1.61</v>
      </c>
    </row>
    <row r="39" spans="1:9">
      <c r="A39">
        <v>2036</v>
      </c>
      <c r="B39">
        <v>75.39</v>
      </c>
      <c r="C39">
        <v>152.49</v>
      </c>
      <c r="D39">
        <v>100.61</v>
      </c>
      <c r="E39">
        <v>111.91</v>
      </c>
      <c r="F39">
        <v>61.86</v>
      </c>
      <c r="G39">
        <v>12.39</v>
      </c>
      <c r="H39">
        <v>1.65</v>
      </c>
      <c r="I39">
        <v>1.63</v>
      </c>
    </row>
    <row r="40" spans="1:9">
      <c r="A40">
        <v>2037</v>
      </c>
      <c r="B40">
        <v>70.25</v>
      </c>
      <c r="C40">
        <v>148.03</v>
      </c>
      <c r="D40">
        <v>95.02</v>
      </c>
      <c r="E40">
        <v>124.61</v>
      </c>
      <c r="F40">
        <v>61.39</v>
      </c>
      <c r="G40">
        <v>12.27</v>
      </c>
      <c r="H40">
        <v>1.68</v>
      </c>
      <c r="I40">
        <v>1.64</v>
      </c>
    </row>
    <row r="41" spans="1:9">
      <c r="A41">
        <v>2038</v>
      </c>
      <c r="B41">
        <v>65.8</v>
      </c>
      <c r="C41">
        <v>143.47</v>
      </c>
      <c r="D41">
        <v>90</v>
      </c>
      <c r="E41">
        <v>137.05000000000001</v>
      </c>
      <c r="F41">
        <v>60.9</v>
      </c>
      <c r="G41">
        <v>11.69</v>
      </c>
      <c r="H41">
        <v>1.71</v>
      </c>
      <c r="I41">
        <v>1.66</v>
      </c>
    </row>
    <row r="42" spans="1:9">
      <c r="A42">
        <v>2039</v>
      </c>
      <c r="B42">
        <v>62.12</v>
      </c>
      <c r="C42">
        <v>138.85</v>
      </c>
      <c r="D42">
        <v>85.78</v>
      </c>
      <c r="E42">
        <v>148.63999999999999</v>
      </c>
      <c r="F42">
        <v>60.47</v>
      </c>
      <c r="G42">
        <v>10.7</v>
      </c>
      <c r="H42">
        <v>1.73</v>
      </c>
      <c r="I42">
        <v>1.68</v>
      </c>
    </row>
    <row r="43" spans="1:9">
      <c r="A43">
        <v>2040</v>
      </c>
      <c r="B43">
        <v>59.48</v>
      </c>
      <c r="C43">
        <v>134.25</v>
      </c>
      <c r="D43">
        <v>82.72</v>
      </c>
      <c r="E43">
        <v>158.54</v>
      </c>
      <c r="F43">
        <v>60.2</v>
      </c>
      <c r="G43">
        <v>10.01</v>
      </c>
      <c r="H43">
        <v>1.76</v>
      </c>
      <c r="I43">
        <v>1.69</v>
      </c>
    </row>
    <row r="44" spans="1:9">
      <c r="A44">
        <v>2041</v>
      </c>
      <c r="B44">
        <v>57.75</v>
      </c>
      <c r="C44">
        <v>129.74</v>
      </c>
      <c r="D44">
        <v>80.77</v>
      </c>
      <c r="E44">
        <v>166.8</v>
      </c>
      <c r="F44">
        <v>60.1</v>
      </c>
      <c r="G44">
        <v>9.98</v>
      </c>
      <c r="H44">
        <v>1.78</v>
      </c>
      <c r="I44">
        <v>1.7</v>
      </c>
    </row>
    <row r="45" spans="1:9">
      <c r="A45">
        <v>2042</v>
      </c>
      <c r="B45">
        <v>56.78</v>
      </c>
      <c r="C45">
        <v>125.34</v>
      </c>
      <c r="D45">
        <v>79.87</v>
      </c>
      <c r="E45">
        <v>173.6</v>
      </c>
      <c r="F45">
        <v>60.16</v>
      </c>
      <c r="G45">
        <v>10.45</v>
      </c>
      <c r="H45">
        <v>1.81</v>
      </c>
      <c r="I45">
        <v>1.72</v>
      </c>
    </row>
    <row r="46" spans="1:9">
      <c r="A46">
        <v>2043</v>
      </c>
      <c r="B46">
        <v>56.33</v>
      </c>
      <c r="C46">
        <v>121.07</v>
      </c>
      <c r="D46">
        <v>79.83</v>
      </c>
      <c r="E46">
        <v>179.93</v>
      </c>
      <c r="F46">
        <v>60.37</v>
      </c>
      <c r="G46">
        <v>11.04</v>
      </c>
      <c r="H46">
        <v>1.83</v>
      </c>
      <c r="I46">
        <v>1.73</v>
      </c>
    </row>
    <row r="47" spans="1:9">
      <c r="A47">
        <v>2044</v>
      </c>
      <c r="B47">
        <v>55.88</v>
      </c>
      <c r="C47">
        <v>116.95</v>
      </c>
      <c r="D47">
        <v>80.11</v>
      </c>
      <c r="E47">
        <v>186.85</v>
      </c>
      <c r="F47">
        <v>60.63</v>
      </c>
      <c r="G47">
        <v>11.43</v>
      </c>
      <c r="H47">
        <v>1.86</v>
      </c>
      <c r="I47">
        <v>1.74</v>
      </c>
    </row>
    <row r="48" spans="1:9">
      <c r="A48">
        <v>2045</v>
      </c>
      <c r="B48">
        <v>55.01</v>
      </c>
      <c r="C48">
        <v>112.94</v>
      </c>
      <c r="D48">
        <v>80.150000000000006</v>
      </c>
      <c r="E48">
        <v>194.55</v>
      </c>
      <c r="F48">
        <v>60.81</v>
      </c>
      <c r="G48">
        <v>11.58</v>
      </c>
      <c r="H48">
        <v>1.89</v>
      </c>
      <c r="I48">
        <v>1.75</v>
      </c>
    </row>
    <row r="49" spans="1:9">
      <c r="A49">
        <v>2046</v>
      </c>
      <c r="B49">
        <v>53.7</v>
      </c>
      <c r="C49">
        <v>109.04</v>
      </c>
      <c r="D49">
        <v>79.77</v>
      </c>
      <c r="E49">
        <v>202.42</v>
      </c>
      <c r="F49">
        <v>60.83</v>
      </c>
      <c r="G49">
        <v>11.6</v>
      </c>
      <c r="H49">
        <v>1.91</v>
      </c>
      <c r="I49">
        <v>1.76</v>
      </c>
    </row>
    <row r="50" spans="1:9">
      <c r="A50">
        <v>2047</v>
      </c>
      <c r="B50">
        <v>52.2</v>
      </c>
      <c r="C50">
        <v>105.28</v>
      </c>
      <c r="D50">
        <v>79.16</v>
      </c>
      <c r="E50">
        <v>209.73</v>
      </c>
      <c r="F50">
        <v>60.74</v>
      </c>
      <c r="G50">
        <v>11.59</v>
      </c>
      <c r="H50">
        <v>1.94</v>
      </c>
      <c r="I50">
        <v>1.77</v>
      </c>
    </row>
    <row r="51" spans="1:9">
      <c r="A51">
        <v>2048</v>
      </c>
      <c r="B51">
        <v>50.81</v>
      </c>
      <c r="C51">
        <v>101.66</v>
      </c>
      <c r="D51">
        <v>78.61</v>
      </c>
      <c r="E51">
        <v>216.11</v>
      </c>
      <c r="F51">
        <v>60.57</v>
      </c>
      <c r="G51">
        <v>11.63</v>
      </c>
      <c r="H51">
        <v>1.97</v>
      </c>
      <c r="I51">
        <v>1.78</v>
      </c>
    </row>
    <row r="52" spans="1:9">
      <c r="A52">
        <v>2049</v>
      </c>
      <c r="B52">
        <v>49.69</v>
      </c>
      <c r="C52">
        <v>98.2</v>
      </c>
      <c r="D52">
        <v>78.28</v>
      </c>
      <c r="E52">
        <v>221.63</v>
      </c>
      <c r="F52">
        <v>60.38</v>
      </c>
      <c r="G52">
        <v>11.76</v>
      </c>
      <c r="H52">
        <v>1.99</v>
      </c>
      <c r="I52">
        <v>1.79</v>
      </c>
    </row>
    <row r="53" spans="1:9">
      <c r="A53">
        <v>2050</v>
      </c>
      <c r="B53">
        <v>48.86</v>
      </c>
      <c r="C53">
        <v>94.89</v>
      </c>
      <c r="D53">
        <v>78.13</v>
      </c>
      <c r="E53">
        <v>226.53</v>
      </c>
      <c r="F53">
        <v>60.16</v>
      </c>
      <c r="G53">
        <v>11.97</v>
      </c>
      <c r="H53">
        <v>2.02</v>
      </c>
      <c r="I53">
        <v>1.8</v>
      </c>
    </row>
    <row r="54" spans="1:9">
      <c r="A54">
        <v>2051</v>
      </c>
      <c r="B54">
        <v>48.24</v>
      </c>
      <c r="C54">
        <v>91.72</v>
      </c>
      <c r="D54">
        <v>77.97</v>
      </c>
      <c r="E54">
        <v>231.08</v>
      </c>
      <c r="F54">
        <v>59.92</v>
      </c>
      <c r="G54">
        <v>12.24</v>
      </c>
      <c r="H54">
        <v>2.04</v>
      </c>
      <c r="I54">
        <v>1.81</v>
      </c>
    </row>
    <row r="55" spans="1:9">
      <c r="A55">
        <v>2052</v>
      </c>
      <c r="B55">
        <v>47.71</v>
      </c>
      <c r="C55">
        <v>88.68</v>
      </c>
      <c r="D55">
        <v>77.58</v>
      </c>
      <c r="E55">
        <v>235.4</v>
      </c>
      <c r="F55">
        <v>59.63</v>
      </c>
      <c r="G55">
        <v>12.53</v>
      </c>
      <c r="H55">
        <v>2.0699999999999998</v>
      </c>
      <c r="I55">
        <v>1.81</v>
      </c>
    </row>
    <row r="56" spans="1:9">
      <c r="A56">
        <v>2053</v>
      </c>
      <c r="B56">
        <v>47.19</v>
      </c>
      <c r="C56">
        <v>85.77</v>
      </c>
      <c r="D56">
        <v>76.84</v>
      </c>
      <c r="E56">
        <v>239.52</v>
      </c>
      <c r="F56">
        <v>59.27</v>
      </c>
      <c r="G56">
        <v>12.84</v>
      </c>
      <c r="H56">
        <v>2.09</v>
      </c>
      <c r="I56">
        <v>1.82</v>
      </c>
    </row>
    <row r="57" spans="1:9">
      <c r="A57">
        <v>2054</v>
      </c>
      <c r="B57">
        <v>46.63</v>
      </c>
      <c r="C57">
        <v>82.97</v>
      </c>
      <c r="D57">
        <v>75.819999999999993</v>
      </c>
      <c r="E57">
        <v>243.4</v>
      </c>
      <c r="F57">
        <v>58.87</v>
      </c>
      <c r="G57">
        <v>13.14</v>
      </c>
      <c r="H57">
        <v>2.12</v>
      </c>
      <c r="I57">
        <v>1.82</v>
      </c>
    </row>
    <row r="58" spans="1:9">
      <c r="A58">
        <v>2055</v>
      </c>
      <c r="B58">
        <v>46</v>
      </c>
      <c r="C58">
        <v>80.27</v>
      </c>
      <c r="D58">
        <v>74.62</v>
      </c>
      <c r="E58">
        <v>247.01</v>
      </c>
      <c r="F58">
        <v>58.42</v>
      </c>
      <c r="G58">
        <v>13.41</v>
      </c>
      <c r="H58">
        <v>2.14</v>
      </c>
      <c r="I58">
        <v>1.83</v>
      </c>
    </row>
    <row r="59" spans="1:9">
      <c r="A59">
        <v>2056</v>
      </c>
      <c r="B59">
        <v>45.32</v>
      </c>
      <c r="C59">
        <v>77.680000000000007</v>
      </c>
      <c r="D59">
        <v>73.39</v>
      </c>
      <c r="E59">
        <v>250.36</v>
      </c>
      <c r="F59">
        <v>57.96</v>
      </c>
      <c r="G59">
        <v>13.64</v>
      </c>
      <c r="H59">
        <v>2.17</v>
      </c>
      <c r="I59">
        <v>1.84</v>
      </c>
    </row>
    <row r="60" spans="1:9">
      <c r="A60">
        <v>2057</v>
      </c>
      <c r="B60">
        <v>44.61</v>
      </c>
      <c r="C60">
        <v>75.19</v>
      </c>
      <c r="D60">
        <v>72.22</v>
      </c>
      <c r="E60">
        <v>253.44</v>
      </c>
      <c r="F60">
        <v>57.49</v>
      </c>
      <c r="G60">
        <v>13.85</v>
      </c>
      <c r="H60">
        <v>2.2000000000000002</v>
      </c>
      <c r="I60">
        <v>1.84</v>
      </c>
    </row>
    <row r="61" spans="1:9">
      <c r="A61">
        <v>2058</v>
      </c>
      <c r="B61">
        <v>43.9</v>
      </c>
      <c r="C61">
        <v>72.8</v>
      </c>
      <c r="D61">
        <v>71.17</v>
      </c>
      <c r="E61">
        <v>256.31</v>
      </c>
      <c r="F61">
        <v>57.02</v>
      </c>
      <c r="G61">
        <v>14.02</v>
      </c>
      <c r="H61">
        <v>2.2200000000000002</v>
      </c>
      <c r="I61">
        <v>1.85</v>
      </c>
    </row>
    <row r="62" spans="1:9">
      <c r="A62">
        <v>2059</v>
      </c>
      <c r="B62">
        <v>43.2</v>
      </c>
      <c r="C62">
        <v>70.489999999999995</v>
      </c>
      <c r="D62">
        <v>70.25</v>
      </c>
      <c r="E62">
        <v>259.01</v>
      </c>
      <c r="F62">
        <v>56.57</v>
      </c>
      <c r="G62">
        <v>14.17</v>
      </c>
      <c r="H62">
        <v>2.25</v>
      </c>
      <c r="I62">
        <v>1.85</v>
      </c>
    </row>
    <row r="63" spans="1:9">
      <c r="A63">
        <v>2060</v>
      </c>
      <c r="B63">
        <v>42.51</v>
      </c>
      <c r="C63">
        <v>68.28</v>
      </c>
      <c r="D63">
        <v>69.45</v>
      </c>
      <c r="E63">
        <v>261.57</v>
      </c>
      <c r="F63">
        <v>56.12</v>
      </c>
      <c r="G63">
        <v>14.28</v>
      </c>
      <c r="H63">
        <v>2.27</v>
      </c>
      <c r="I63">
        <v>1.85</v>
      </c>
    </row>
    <row r="64" spans="1:9">
      <c r="A64">
        <v>2061</v>
      </c>
      <c r="B64">
        <v>41.84</v>
      </c>
      <c r="C64">
        <v>66.14</v>
      </c>
      <c r="D64">
        <v>68.72</v>
      </c>
      <c r="E64">
        <v>264</v>
      </c>
      <c r="F64">
        <v>55.68</v>
      </c>
      <c r="G64">
        <v>14.37</v>
      </c>
      <c r="H64">
        <v>2.2999999999999998</v>
      </c>
      <c r="I64">
        <v>1.86</v>
      </c>
    </row>
    <row r="65" spans="1:9">
      <c r="A65">
        <v>2062</v>
      </c>
      <c r="B65">
        <v>41.17</v>
      </c>
      <c r="C65">
        <v>64.08</v>
      </c>
      <c r="D65">
        <v>68.03</v>
      </c>
      <c r="E65">
        <v>266.31</v>
      </c>
      <c r="F65">
        <v>55.24</v>
      </c>
      <c r="G65">
        <v>14.41</v>
      </c>
      <c r="H65">
        <v>2.3199999999999998</v>
      </c>
      <c r="I65">
        <v>1.86</v>
      </c>
    </row>
    <row r="66" spans="1:9">
      <c r="A66">
        <v>2063</v>
      </c>
      <c r="B66">
        <v>40.520000000000003</v>
      </c>
      <c r="C66">
        <v>62.11</v>
      </c>
      <c r="D66">
        <v>67.37</v>
      </c>
      <c r="E66">
        <v>268.49</v>
      </c>
      <c r="F66">
        <v>54.8</v>
      </c>
      <c r="G66">
        <v>14.42</v>
      </c>
      <c r="H66">
        <v>2.35</v>
      </c>
      <c r="I66">
        <v>1.87</v>
      </c>
    </row>
    <row r="67" spans="1:9">
      <c r="A67">
        <v>2064</v>
      </c>
      <c r="B67">
        <v>39.89</v>
      </c>
      <c r="C67">
        <v>60.22</v>
      </c>
      <c r="D67">
        <v>66.739999999999995</v>
      </c>
      <c r="E67">
        <v>270.55</v>
      </c>
      <c r="F67">
        <v>54.36</v>
      </c>
      <c r="G67">
        <v>14.39</v>
      </c>
      <c r="H67">
        <v>2.37</v>
      </c>
      <c r="I67">
        <v>1.87</v>
      </c>
    </row>
    <row r="68" spans="1:9">
      <c r="A68">
        <v>2065</v>
      </c>
      <c r="B68">
        <v>39.299999999999997</v>
      </c>
      <c r="C68">
        <v>58.41</v>
      </c>
      <c r="D68">
        <v>66.11</v>
      </c>
      <c r="E68">
        <v>272.51</v>
      </c>
      <c r="F68">
        <v>53.92</v>
      </c>
      <c r="G68">
        <v>14.33</v>
      </c>
      <c r="H68">
        <v>2.4</v>
      </c>
      <c r="I68">
        <v>1.88</v>
      </c>
    </row>
    <row r="69" spans="1:9">
      <c r="A69">
        <v>2066</v>
      </c>
      <c r="B69">
        <v>38.75</v>
      </c>
      <c r="C69">
        <v>56.7</v>
      </c>
      <c r="D69">
        <v>65.52</v>
      </c>
      <c r="E69">
        <v>274.39999999999998</v>
      </c>
      <c r="F69">
        <v>53.49</v>
      </c>
      <c r="G69">
        <v>14.25</v>
      </c>
      <c r="H69">
        <v>2.4300000000000002</v>
      </c>
      <c r="I69">
        <v>1.88</v>
      </c>
    </row>
    <row r="70" spans="1:9">
      <c r="A70">
        <v>2067</v>
      </c>
      <c r="B70">
        <v>38.24</v>
      </c>
      <c r="C70">
        <v>55.06</v>
      </c>
      <c r="D70">
        <v>64.95</v>
      </c>
      <c r="E70">
        <v>276.23</v>
      </c>
      <c r="F70">
        <v>53.05</v>
      </c>
      <c r="G70">
        <v>14.14</v>
      </c>
      <c r="H70">
        <v>2.4500000000000002</v>
      </c>
      <c r="I70">
        <v>1.88</v>
      </c>
    </row>
    <row r="71" spans="1:9">
      <c r="A71">
        <v>2068</v>
      </c>
      <c r="B71">
        <v>37.76</v>
      </c>
      <c r="C71">
        <v>53.5</v>
      </c>
      <c r="D71">
        <v>64.41</v>
      </c>
      <c r="E71">
        <v>277.99</v>
      </c>
      <c r="F71">
        <v>52.63</v>
      </c>
      <c r="G71">
        <v>14.02</v>
      </c>
      <c r="H71">
        <v>2.48</v>
      </c>
      <c r="I71">
        <v>1.89</v>
      </c>
    </row>
    <row r="72" spans="1:9">
      <c r="A72">
        <v>2069</v>
      </c>
      <c r="B72">
        <v>37.32</v>
      </c>
      <c r="C72">
        <v>52.03</v>
      </c>
      <c r="D72">
        <v>63.91</v>
      </c>
      <c r="E72">
        <v>279.70999999999998</v>
      </c>
      <c r="F72">
        <v>52.2</v>
      </c>
      <c r="G72">
        <v>13.9</v>
      </c>
      <c r="H72">
        <v>2.5099999999999998</v>
      </c>
      <c r="I72">
        <v>1.89</v>
      </c>
    </row>
    <row r="73" spans="1:9">
      <c r="A73">
        <v>2070</v>
      </c>
      <c r="B73">
        <v>36.9</v>
      </c>
      <c r="C73">
        <v>50.62</v>
      </c>
      <c r="D73">
        <v>63.43</v>
      </c>
      <c r="E73">
        <v>281.37</v>
      </c>
      <c r="F73">
        <v>51.79</v>
      </c>
      <c r="G73">
        <v>13.76</v>
      </c>
      <c r="H73">
        <v>2.5299999999999998</v>
      </c>
      <c r="I73">
        <v>1.9</v>
      </c>
    </row>
    <row r="74" spans="1:9">
      <c r="A74">
        <v>2071</v>
      </c>
      <c r="B74">
        <v>36.49</v>
      </c>
      <c r="C74">
        <v>49.28</v>
      </c>
      <c r="D74">
        <v>63</v>
      </c>
      <c r="E74">
        <v>282.97000000000003</v>
      </c>
      <c r="F74">
        <v>51.38</v>
      </c>
      <c r="G74">
        <v>13.63</v>
      </c>
      <c r="H74">
        <v>2.56</v>
      </c>
      <c r="I74">
        <v>1.9</v>
      </c>
    </row>
    <row r="75" spans="1:9">
      <c r="A75">
        <v>2072</v>
      </c>
      <c r="B75">
        <v>36.090000000000003</v>
      </c>
      <c r="C75">
        <v>48.01</v>
      </c>
      <c r="D75">
        <v>62.59</v>
      </c>
      <c r="E75">
        <v>284.52</v>
      </c>
      <c r="F75">
        <v>50.98</v>
      </c>
      <c r="G75">
        <v>13.49</v>
      </c>
      <c r="H75">
        <v>2.58</v>
      </c>
      <c r="I75">
        <v>1.9</v>
      </c>
    </row>
    <row r="76" spans="1:9">
      <c r="A76">
        <v>2073</v>
      </c>
      <c r="B76">
        <v>35.700000000000003</v>
      </c>
      <c r="C76">
        <v>46.8</v>
      </c>
      <c r="D76">
        <v>62.23</v>
      </c>
      <c r="E76">
        <v>286.02</v>
      </c>
      <c r="F76">
        <v>50.6</v>
      </c>
      <c r="G76">
        <v>13.36</v>
      </c>
      <c r="H76">
        <v>2.61</v>
      </c>
      <c r="I76">
        <v>1.91</v>
      </c>
    </row>
    <row r="77" spans="1:9">
      <c r="A77">
        <v>2074</v>
      </c>
      <c r="B77">
        <v>35.33</v>
      </c>
      <c r="C77">
        <v>45.66</v>
      </c>
      <c r="D77">
        <v>61.89</v>
      </c>
      <c r="E77">
        <v>287.45999999999998</v>
      </c>
      <c r="F77">
        <v>50.22</v>
      </c>
      <c r="G77">
        <v>13.24</v>
      </c>
      <c r="H77">
        <v>2.64</v>
      </c>
      <c r="I77">
        <v>1.91</v>
      </c>
    </row>
    <row r="78" spans="1:9">
      <c r="A78">
        <v>2075</v>
      </c>
      <c r="B78">
        <v>34.96</v>
      </c>
      <c r="C78">
        <v>44.56</v>
      </c>
      <c r="D78">
        <v>61.59</v>
      </c>
      <c r="E78">
        <v>288.85000000000002</v>
      </c>
      <c r="F78">
        <v>49.86</v>
      </c>
      <c r="G78">
        <v>13.12</v>
      </c>
      <c r="H78">
        <v>2.66</v>
      </c>
      <c r="I78">
        <v>1.91</v>
      </c>
    </row>
    <row r="79" spans="1:9">
      <c r="A79">
        <v>2076</v>
      </c>
      <c r="B79">
        <v>34.619999999999997</v>
      </c>
      <c r="C79">
        <v>43.53</v>
      </c>
      <c r="D79">
        <v>61.31</v>
      </c>
      <c r="E79">
        <v>290.19</v>
      </c>
      <c r="F79">
        <v>49.51</v>
      </c>
      <c r="G79">
        <v>13.01</v>
      </c>
      <c r="H79">
        <v>2.69</v>
      </c>
      <c r="I79">
        <v>1.91</v>
      </c>
    </row>
    <row r="80" spans="1:9">
      <c r="A80">
        <v>2077</v>
      </c>
      <c r="B80">
        <v>34.29</v>
      </c>
      <c r="C80">
        <v>42.54</v>
      </c>
      <c r="D80">
        <v>61.06</v>
      </c>
      <c r="E80">
        <v>291.45999999999998</v>
      </c>
      <c r="F80">
        <v>49.17</v>
      </c>
      <c r="G80">
        <v>12.91</v>
      </c>
      <c r="H80">
        <v>2.71</v>
      </c>
      <c r="I80">
        <v>1.92</v>
      </c>
    </row>
    <row r="81" spans="1:9">
      <c r="A81">
        <v>2078</v>
      </c>
      <c r="B81">
        <v>33.979999999999997</v>
      </c>
      <c r="C81">
        <v>41.59</v>
      </c>
      <c r="D81">
        <v>60.83</v>
      </c>
      <c r="E81">
        <v>292.68</v>
      </c>
      <c r="F81">
        <v>48.84</v>
      </c>
      <c r="G81">
        <v>12.82</v>
      </c>
      <c r="H81">
        <v>2.74</v>
      </c>
      <c r="I81">
        <v>1.92</v>
      </c>
    </row>
    <row r="82" spans="1:9">
      <c r="A82">
        <v>2079</v>
      </c>
      <c r="B82">
        <v>33.700000000000003</v>
      </c>
      <c r="C82">
        <v>40.69</v>
      </c>
      <c r="D82">
        <v>60.62</v>
      </c>
      <c r="E82">
        <v>293.85000000000002</v>
      </c>
      <c r="F82">
        <v>48.53</v>
      </c>
      <c r="G82">
        <v>12.74</v>
      </c>
      <c r="H82">
        <v>2.77</v>
      </c>
      <c r="I82">
        <v>1.93</v>
      </c>
    </row>
    <row r="83" spans="1:9">
      <c r="A83">
        <v>2080</v>
      </c>
      <c r="B83">
        <v>33.44</v>
      </c>
      <c r="C83">
        <v>39.840000000000003</v>
      </c>
      <c r="D83">
        <v>60.43</v>
      </c>
      <c r="E83">
        <v>294.95999999999998</v>
      </c>
      <c r="F83">
        <v>48.22</v>
      </c>
      <c r="G83">
        <v>12.66</v>
      </c>
      <c r="H83">
        <v>2.8</v>
      </c>
      <c r="I83">
        <v>1.93</v>
      </c>
    </row>
    <row r="84" spans="1:9">
      <c r="A84">
        <v>2081</v>
      </c>
      <c r="B84">
        <v>33.21</v>
      </c>
      <c r="C84">
        <v>39.020000000000003</v>
      </c>
      <c r="D84">
        <v>60.25</v>
      </c>
      <c r="E84">
        <v>296.02999999999997</v>
      </c>
      <c r="F84">
        <v>47.93</v>
      </c>
      <c r="G84">
        <v>12.59</v>
      </c>
      <c r="H84">
        <v>2.82</v>
      </c>
      <c r="I84">
        <v>1.94</v>
      </c>
    </row>
    <row r="85" spans="1:9">
      <c r="A85">
        <v>2082</v>
      </c>
      <c r="B85">
        <v>33.01</v>
      </c>
      <c r="C85">
        <v>38.229999999999997</v>
      </c>
      <c r="D85">
        <v>60.09</v>
      </c>
      <c r="E85">
        <v>297.06</v>
      </c>
      <c r="F85">
        <v>47.66</v>
      </c>
      <c r="G85">
        <v>12.53</v>
      </c>
      <c r="H85">
        <v>2.85</v>
      </c>
      <c r="I85">
        <v>1.94</v>
      </c>
    </row>
    <row r="86" spans="1:9">
      <c r="A86">
        <v>2083</v>
      </c>
      <c r="B86">
        <v>32.82</v>
      </c>
      <c r="C86">
        <v>37.49</v>
      </c>
      <c r="D86">
        <v>59.95</v>
      </c>
      <c r="E86">
        <v>298.08</v>
      </c>
      <c r="F86">
        <v>47.4</v>
      </c>
      <c r="G86">
        <v>12.47</v>
      </c>
      <c r="H86">
        <v>2.88</v>
      </c>
      <c r="I86">
        <v>1.94</v>
      </c>
    </row>
    <row r="87" spans="1:9">
      <c r="A87">
        <v>2084</v>
      </c>
      <c r="B87">
        <v>32.659999999999997</v>
      </c>
      <c r="C87">
        <v>36.770000000000003</v>
      </c>
      <c r="D87">
        <v>59.83</v>
      </c>
      <c r="E87">
        <v>299.07</v>
      </c>
      <c r="F87">
        <v>47.15</v>
      </c>
      <c r="G87">
        <v>12.42</v>
      </c>
      <c r="H87">
        <v>2.9</v>
      </c>
      <c r="I87">
        <v>1.95</v>
      </c>
    </row>
    <row r="88" spans="1:9">
      <c r="A88">
        <v>2085</v>
      </c>
      <c r="B88">
        <v>32.520000000000003</v>
      </c>
      <c r="C88">
        <v>36.08</v>
      </c>
      <c r="D88">
        <v>59.72</v>
      </c>
      <c r="E88">
        <v>300.06</v>
      </c>
      <c r="F88">
        <v>46.91</v>
      </c>
      <c r="G88">
        <v>12.37</v>
      </c>
      <c r="H88">
        <v>2.93</v>
      </c>
      <c r="I88">
        <v>1.95</v>
      </c>
    </row>
    <row r="89" spans="1:9">
      <c r="A89">
        <v>2086</v>
      </c>
      <c r="B89">
        <v>32.380000000000003</v>
      </c>
      <c r="C89">
        <v>35.409999999999997</v>
      </c>
      <c r="D89">
        <v>59.62</v>
      </c>
      <c r="E89">
        <v>301.04000000000002</v>
      </c>
      <c r="F89">
        <v>46.69</v>
      </c>
      <c r="G89">
        <v>12.33</v>
      </c>
      <c r="H89">
        <v>2.95</v>
      </c>
      <c r="I89">
        <v>1.95</v>
      </c>
    </row>
    <row r="90" spans="1:9">
      <c r="A90">
        <v>2087</v>
      </c>
      <c r="B90">
        <v>32.26</v>
      </c>
      <c r="C90">
        <v>34.770000000000003</v>
      </c>
      <c r="D90">
        <v>59.54</v>
      </c>
      <c r="E90">
        <v>302.01</v>
      </c>
      <c r="F90">
        <v>46.49</v>
      </c>
      <c r="G90">
        <v>12.29</v>
      </c>
      <c r="H90">
        <v>2.98</v>
      </c>
      <c r="I90">
        <v>1.96</v>
      </c>
    </row>
    <row r="91" spans="1:9">
      <c r="A91">
        <v>2088</v>
      </c>
      <c r="B91">
        <v>32.15</v>
      </c>
      <c r="C91">
        <v>34.17</v>
      </c>
      <c r="D91">
        <v>59.47</v>
      </c>
      <c r="E91">
        <v>302.98</v>
      </c>
      <c r="F91">
        <v>46.29</v>
      </c>
      <c r="G91">
        <v>12.25</v>
      </c>
      <c r="H91">
        <v>3.01</v>
      </c>
      <c r="I91">
        <v>1.96</v>
      </c>
    </row>
    <row r="92" spans="1:9">
      <c r="A92">
        <v>2089</v>
      </c>
      <c r="B92">
        <v>32.049999999999997</v>
      </c>
      <c r="C92">
        <v>33.58</v>
      </c>
      <c r="D92">
        <v>59.41</v>
      </c>
      <c r="E92">
        <v>303.95999999999998</v>
      </c>
      <c r="F92">
        <v>46.11</v>
      </c>
      <c r="G92">
        <v>12.22</v>
      </c>
      <c r="H92">
        <v>3.04</v>
      </c>
      <c r="I92">
        <v>1.96</v>
      </c>
    </row>
    <row r="93" spans="1:9">
      <c r="A93">
        <v>2090</v>
      </c>
      <c r="B93">
        <v>31.96</v>
      </c>
      <c r="C93">
        <v>33.03</v>
      </c>
      <c r="D93">
        <v>59.36</v>
      </c>
      <c r="E93">
        <v>304.94</v>
      </c>
      <c r="F93">
        <v>45.94</v>
      </c>
      <c r="G93">
        <v>12.19</v>
      </c>
      <c r="H93">
        <v>3.06</v>
      </c>
      <c r="I93">
        <v>1.97</v>
      </c>
    </row>
    <row r="94" spans="1:9">
      <c r="A94">
        <v>2091</v>
      </c>
      <c r="B94">
        <v>31.88</v>
      </c>
      <c r="C94">
        <v>32.5</v>
      </c>
      <c r="D94">
        <v>59.33</v>
      </c>
      <c r="E94">
        <v>305.93</v>
      </c>
      <c r="F94">
        <v>45.79</v>
      </c>
      <c r="G94">
        <v>12.17</v>
      </c>
      <c r="H94">
        <v>3.09</v>
      </c>
      <c r="I94">
        <v>1.97</v>
      </c>
    </row>
    <row r="95" spans="1:9">
      <c r="A95">
        <v>2092</v>
      </c>
      <c r="B95">
        <v>31.81</v>
      </c>
      <c r="C95">
        <v>32</v>
      </c>
      <c r="D95">
        <v>59.31</v>
      </c>
      <c r="E95">
        <v>306.94</v>
      </c>
      <c r="F95">
        <v>45.64</v>
      </c>
      <c r="G95">
        <v>12.15</v>
      </c>
      <c r="H95">
        <v>3.12</v>
      </c>
      <c r="I95">
        <v>1.98</v>
      </c>
    </row>
    <row r="96" spans="1:9">
      <c r="A96">
        <v>2093</v>
      </c>
      <c r="B96">
        <v>31.75</v>
      </c>
      <c r="C96">
        <v>31.53</v>
      </c>
      <c r="D96">
        <v>59.3</v>
      </c>
      <c r="E96">
        <v>307.97000000000003</v>
      </c>
      <c r="F96">
        <v>45.52</v>
      </c>
      <c r="G96">
        <v>12.14</v>
      </c>
      <c r="H96">
        <v>3.14</v>
      </c>
      <c r="I96">
        <v>1.98</v>
      </c>
    </row>
    <row r="97" spans="1:9">
      <c r="A97">
        <v>2094</v>
      </c>
      <c r="B97">
        <v>31.7</v>
      </c>
      <c r="C97">
        <v>31.07</v>
      </c>
      <c r="D97">
        <v>59.31</v>
      </c>
      <c r="E97">
        <v>309.02999999999997</v>
      </c>
      <c r="F97">
        <v>45.4</v>
      </c>
      <c r="G97">
        <v>12.13</v>
      </c>
      <c r="H97">
        <v>3.17</v>
      </c>
      <c r="I97">
        <v>1.98</v>
      </c>
    </row>
    <row r="98" spans="1:9">
      <c r="A98">
        <v>2095</v>
      </c>
      <c r="B98">
        <v>31.66</v>
      </c>
      <c r="C98">
        <v>30.65</v>
      </c>
      <c r="D98">
        <v>59.32</v>
      </c>
      <c r="E98">
        <v>310.11</v>
      </c>
      <c r="F98">
        <v>45.3</v>
      </c>
      <c r="G98">
        <v>12.12</v>
      </c>
      <c r="H98">
        <v>3.19</v>
      </c>
      <c r="I98">
        <v>1.99</v>
      </c>
    </row>
    <row r="99" spans="1:9">
      <c r="A99">
        <v>2096</v>
      </c>
      <c r="B99">
        <v>31.63</v>
      </c>
      <c r="C99">
        <v>30.24</v>
      </c>
      <c r="D99">
        <v>59.35</v>
      </c>
      <c r="E99">
        <v>311.20999999999998</v>
      </c>
      <c r="F99">
        <v>45.21</v>
      </c>
      <c r="G99">
        <v>12.12</v>
      </c>
      <c r="H99">
        <v>3.22</v>
      </c>
      <c r="I99">
        <v>1.99</v>
      </c>
    </row>
    <row r="100" spans="1:9">
      <c r="A100">
        <v>2097</v>
      </c>
      <c r="B100">
        <v>31.6</v>
      </c>
      <c r="C100">
        <v>29.86</v>
      </c>
      <c r="D100">
        <v>59.38</v>
      </c>
      <c r="E100">
        <v>312.33999999999997</v>
      </c>
      <c r="F100">
        <v>45.13</v>
      </c>
      <c r="G100">
        <v>12.13</v>
      </c>
      <c r="H100">
        <v>3.24</v>
      </c>
      <c r="I100">
        <v>1.99</v>
      </c>
    </row>
    <row r="101" spans="1:9">
      <c r="A101">
        <v>2098</v>
      </c>
      <c r="B101">
        <v>31.59</v>
      </c>
      <c r="C101">
        <v>29.49</v>
      </c>
      <c r="D101">
        <v>59.42</v>
      </c>
      <c r="E101">
        <v>313.5</v>
      </c>
      <c r="F101">
        <v>45.06</v>
      </c>
      <c r="G101">
        <v>12.13</v>
      </c>
      <c r="H101">
        <v>3.27</v>
      </c>
      <c r="I101">
        <v>1.99</v>
      </c>
    </row>
    <row r="102" spans="1:9">
      <c r="A102">
        <v>2099</v>
      </c>
      <c r="B102">
        <v>31.58</v>
      </c>
      <c r="C102">
        <v>29.15</v>
      </c>
      <c r="D102">
        <v>59.46</v>
      </c>
      <c r="E102">
        <v>314.69</v>
      </c>
      <c r="F102">
        <v>45.01</v>
      </c>
      <c r="G102">
        <v>12.14</v>
      </c>
      <c r="H102">
        <v>3.29</v>
      </c>
      <c r="I102">
        <v>2</v>
      </c>
    </row>
    <row r="103" spans="1:9">
      <c r="A103">
        <v>2100</v>
      </c>
      <c r="B103">
        <v>31.57</v>
      </c>
      <c r="C103">
        <v>28.83</v>
      </c>
      <c r="D103">
        <v>59.51</v>
      </c>
      <c r="E103">
        <v>315.89999999999998</v>
      </c>
      <c r="F103">
        <v>44.96</v>
      </c>
      <c r="G103">
        <v>12.15</v>
      </c>
      <c r="H103">
        <v>3.31</v>
      </c>
      <c r="I103">
        <v>2</v>
      </c>
    </row>
  </sheetData>
  <conditionalFormatting sqref="B2:G10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666257CC8B15448EC2FEA74E6C7F34" ma:contentTypeVersion="9" ma:contentTypeDescription="Create a new document." ma:contentTypeScope="" ma:versionID="79d0c94388fffc77045399454c62dfd1">
  <xsd:schema xmlns:xsd="http://www.w3.org/2001/XMLSchema" xmlns:xs="http://www.w3.org/2001/XMLSchema" xmlns:p="http://schemas.microsoft.com/office/2006/metadata/properties" xmlns:ns3="099fa0ec-c8a7-43f1-a9d9-ddfac12465e1" xmlns:ns4="ad319f41-ebad-43cc-a9a3-1e2f678a7c8d" targetNamespace="http://schemas.microsoft.com/office/2006/metadata/properties" ma:root="true" ma:fieldsID="ed4357d7484446de66ae29a0ca7f5b8c" ns3:_="" ns4:_="">
    <xsd:import namespace="099fa0ec-c8a7-43f1-a9d9-ddfac12465e1"/>
    <xsd:import namespace="ad319f41-ebad-43cc-a9a3-1e2f678a7c8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fa0ec-c8a7-43f1-a9d9-ddfac12465e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19f41-ebad-43cc-a9a3-1e2f678a7c8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9fa0ec-c8a7-43f1-a9d9-ddfac12465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91048E-59D3-4F6F-B737-D6159C86D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9fa0ec-c8a7-43f1-a9d9-ddfac12465e1"/>
    <ds:schemaRef ds:uri="ad319f41-ebad-43cc-a9a3-1e2f678a7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23CE4-E25A-4F83-B6FD-B2516F678DCD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099fa0ec-c8a7-43f1-a9d9-ddfac12465e1"/>
    <ds:schemaRef ds:uri="http://schemas.microsoft.com/office/2006/documentManagement/types"/>
    <ds:schemaRef ds:uri="http://schemas.microsoft.com/office/2006/metadata/properties"/>
    <ds:schemaRef ds:uri="ad319f41-ebad-43cc-a9a3-1e2f678a7c8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4895DC0-4C53-4540-B822-52D0FFE8F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Decision Analysis</vt:lpstr>
      <vt:lpstr>Linear Regression </vt:lpstr>
      <vt:lpstr>Probability and statistics</vt:lpstr>
      <vt:lpstr>Sensitivity Analysis_for coal</vt:lpstr>
      <vt:lpstr>Sensitivity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 Raghavendra Adusumilli</dc:creator>
  <cp:keywords/>
  <dc:description/>
  <cp:lastModifiedBy>Adusumilli, Vijaya Raghavendra</cp:lastModifiedBy>
  <cp:revision/>
  <dcterms:created xsi:type="dcterms:W3CDTF">2024-12-06T19:35:55Z</dcterms:created>
  <dcterms:modified xsi:type="dcterms:W3CDTF">2024-12-08T06:49:58Z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0x0101008B666257CC8B15448EC2FEA74E6C7F34</vt:lpwstr>
  </property>
</Properties>
</file>